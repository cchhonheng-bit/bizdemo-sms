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LA computer\Desktop\System\"/>
    </mc:Choice>
  </mc:AlternateContent>
  <bookViews>
    <workbookView xWindow="0" yWindow="0" windowWidth="19200" windowHeight="7350"/>
  </bookViews>
  <sheets>
    <sheet name="យកតាម Account មួយៗ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D7" i="1"/>
  <c r="G7" i="1"/>
  <c r="G11" i="1"/>
  <c r="G16" i="1" s="1"/>
  <c r="G13" i="1"/>
  <c r="G14" i="1"/>
  <c r="G15" i="1"/>
  <c r="D16" i="1"/>
  <c r="G21" i="1"/>
  <c r="G22" i="1"/>
  <c r="G28" i="1" s="1"/>
  <c r="G23" i="1"/>
  <c r="D28" i="1"/>
  <c r="D37" i="1"/>
  <c r="G37" i="1"/>
  <c r="D42" i="1"/>
  <c r="G42" i="1"/>
</calcChain>
</file>

<file path=xl/sharedStrings.xml><?xml version="1.0" encoding="utf-8"?>
<sst xmlns="http://schemas.openxmlformats.org/spreadsheetml/2006/main" count="180" uniqueCount="34">
  <si>
    <t>Balance</t>
  </si>
  <si>
    <t>បុគ្គលិកសង Davide</t>
  </si>
  <si>
    <t>បុគ្គលិកខ្ចី Davide</t>
  </si>
  <si>
    <t>អាស័យដ្ឋាន</t>
  </si>
  <si>
    <t>ឈ្មោះហាងបានទិញ</t>
  </si>
  <si>
    <t>ឈ្មោះជាងបានដក</t>
  </si>
  <si>
    <t>BK #</t>
  </si>
  <si>
    <t>វីក្កយប័ត្រ</t>
  </si>
  <si>
    <t>តម្លៃសរុប</t>
  </si>
  <si>
    <t>តម្លៃរាយ</t>
  </si>
  <si>
    <t>ខ្នាត</t>
  </si>
  <si>
    <t>ចំនួនបានដក</t>
  </si>
  <si>
    <t>បរិយាយ</t>
  </si>
  <si>
    <t>គណនេយ្យលេខ</t>
  </si>
  <si>
    <t>ថ្ងៃទី</t>
  </si>
  <si>
    <t>ផ្ទះលេខ 22, ផ្លូវលេខ 19, គ្រោង7, ភូមិ ៥, សង្កាត់ផ្សារចាស់, ខណ្ឌដូនពេញ, រាជធានីភ្នំពេញ</t>
  </si>
  <si>
    <t>Chhang</t>
  </si>
  <si>
    <t>BK013</t>
  </si>
  <si>
    <t>គ្រឿង</t>
  </si>
  <si>
    <t>ម៉ាស៊ីនត្រជាក់ Panasonis 1.5HP</t>
  </si>
  <si>
    <t>David</t>
  </si>
  <si>
    <t>ម៉ែត្រ</t>
  </si>
  <si>
    <t>ទុយោស្ពាន់ 16mm (16*0.72)</t>
  </si>
  <si>
    <t>ផ្ទះលេខ 165, ផ្លូវលេខ Claster, គ្រោង7, ភូមិវាលស្បូវ, សង្កាត់វាលស្បូវ, ខណ្ឌច្បារអំពៅ, រាជធានីភ្នំពេញ</t>
  </si>
  <si>
    <t>BK020</t>
  </si>
  <si>
    <t>efg</t>
  </si>
  <si>
    <t>ចន្ថា</t>
  </si>
  <si>
    <t>abc</t>
  </si>
  <si>
    <t>INV-2610-0006</t>
  </si>
  <si>
    <t>លុយចូលពី​ Kim Penh</t>
  </si>
  <si>
    <t>INV-2610-0012</t>
  </si>
  <si>
    <t>លុយចូលពី​ Vichhay</t>
  </si>
  <si>
    <t>Opening Balance</t>
  </si>
  <si>
    <t>អ្នក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</si>
</sst>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4" fontId="0" fillId="0" borderId="0" xfId="1" applyFont="1" applyFill="1"/>
    <xf numFmtId="44" fontId="0" fillId="0" borderId="0" xfId="2" applyFont="1"/>
    <xf numFmtId="14" fontId="0" fillId="0" borderId="0" xfId="0" applyNumberFormat="1"/>
    <xf numFmtId="164" fontId="0" fillId="0" borderId="0" xfId="1" applyFont="1"/>
    <xf numFmtId="164" fontId="2" fillId="0" borderId="0" xfId="1" applyFont="1"/>
    <xf numFmtId="0" fontId="0" fillId="0" borderId="0" xfId="0" applyBorder="1"/>
    <xf numFmtId="164" fontId="0" fillId="2" borderId="0" xfId="1" applyFont="1" applyFill="1"/>
    <xf numFmtId="44" fontId="2" fillId="0" borderId="0" xfId="0" applyNumberFormat="1" applyFont="1"/>
    <xf numFmtId="44" fontId="0" fillId="2" borderId="0" xfId="2" applyFont="1" applyFill="1"/>
  </cellXfs>
  <cellStyles count="3">
    <cellStyle name="Currency" xfId="1" builtinId="4"/>
    <cellStyle name="Currency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2"/>
  <sheetViews>
    <sheetView tabSelected="1" workbookViewId="0">
      <selection activeCell="I9" sqref="I9"/>
    </sheetView>
  </sheetViews>
  <sheetFormatPr defaultRowHeight="14.5" x14ac:dyDescent="0.35"/>
  <cols>
    <col min="1" max="1" width="10.453125" bestFit="1" customWidth="1"/>
    <col min="2" max="2" width="14.08984375" bestFit="1" customWidth="1"/>
    <col min="3" max="3" width="25.6328125" customWidth="1"/>
    <col min="4" max="5" width="16.453125" customWidth="1"/>
    <col min="6" max="6" width="11.90625" customWidth="1"/>
    <col min="7" max="7" width="11.81640625" customWidth="1"/>
    <col min="8" max="8" width="14.36328125" bestFit="1" customWidth="1"/>
    <col min="9" max="10" width="13.7265625" customWidth="1"/>
    <col min="11" max="11" width="16.7265625" bestFit="1" customWidth="1"/>
    <col min="12" max="12" width="16.7265625" customWidth="1"/>
    <col min="13" max="13" width="84.26953125" bestFit="1" customWidth="1"/>
  </cols>
  <sheetData>
    <row r="2" spans="1:13" x14ac:dyDescent="0.35">
      <c r="A2" t="s">
        <v>14</v>
      </c>
      <c r="B2" t="s">
        <v>13</v>
      </c>
      <c r="C2" t="s">
        <v>12</v>
      </c>
      <c r="D2" t="s">
        <v>11</v>
      </c>
      <c r="E2" t="s">
        <v>10</v>
      </c>
      <c r="F2" t="s">
        <v>9</v>
      </c>
      <c r="G2" t="s">
        <v>8</v>
      </c>
      <c r="H2" t="s">
        <v>7</v>
      </c>
      <c r="I2" t="s">
        <v>6</v>
      </c>
      <c r="J2" t="s">
        <v>33</v>
      </c>
      <c r="K2" t="s">
        <v>5</v>
      </c>
      <c r="L2" t="s">
        <v>4</v>
      </c>
      <c r="M2" t="s">
        <v>3</v>
      </c>
    </row>
    <row r="3" spans="1:13" x14ac:dyDescent="0.35">
      <c r="A3" s="4">
        <v>46315</v>
      </c>
      <c r="B3" s="7">
        <v>13110</v>
      </c>
      <c r="C3" t="s">
        <v>19</v>
      </c>
      <c r="D3">
        <v>3</v>
      </c>
      <c r="E3" t="s">
        <v>18</v>
      </c>
      <c r="F3" s="3">
        <v>450</v>
      </c>
      <c r="G3" s="10">
        <f>F3*D3</f>
        <v>1350</v>
      </c>
      <c r="H3">
        <v>133244</v>
      </c>
      <c r="J3" t="s">
        <v>26</v>
      </c>
      <c r="L3" t="s">
        <v>27</v>
      </c>
    </row>
    <row r="4" spans="1:13" x14ac:dyDescent="0.35">
      <c r="A4" s="4">
        <v>46316</v>
      </c>
      <c r="B4" s="7">
        <v>13110</v>
      </c>
      <c r="C4" t="s">
        <v>19</v>
      </c>
      <c r="D4">
        <v>-1</v>
      </c>
      <c r="E4" t="s">
        <v>18</v>
      </c>
      <c r="F4" s="3">
        <v>-450</v>
      </c>
      <c r="G4" s="3">
        <v>-450</v>
      </c>
      <c r="H4" s="3"/>
      <c r="I4" t="s">
        <v>24</v>
      </c>
      <c r="J4" t="s">
        <v>26</v>
      </c>
      <c r="K4" t="s">
        <v>20</v>
      </c>
      <c r="M4" t="s">
        <v>23</v>
      </c>
    </row>
    <row r="5" spans="1:13" x14ac:dyDescent="0.35">
      <c r="A5" s="4">
        <v>46317</v>
      </c>
      <c r="B5" s="7">
        <v>13110</v>
      </c>
      <c r="C5" t="s">
        <v>19</v>
      </c>
      <c r="D5">
        <v>1</v>
      </c>
      <c r="E5" t="s">
        <v>18</v>
      </c>
      <c r="F5" s="3">
        <v>460</v>
      </c>
      <c r="G5" s="10">
        <v>460</v>
      </c>
      <c r="H5">
        <v>133213</v>
      </c>
      <c r="J5" t="s">
        <v>26</v>
      </c>
      <c r="L5" t="s">
        <v>25</v>
      </c>
    </row>
    <row r="6" spans="1:13" x14ac:dyDescent="0.35">
      <c r="A6" s="4">
        <v>46317</v>
      </c>
      <c r="B6" s="7">
        <v>13110</v>
      </c>
      <c r="C6" t="s">
        <v>19</v>
      </c>
      <c r="D6">
        <v>-1</v>
      </c>
      <c r="E6" t="s">
        <v>18</v>
      </c>
      <c r="F6" s="3">
        <v>-453.33</v>
      </c>
      <c r="G6" s="3">
        <v>-453.33</v>
      </c>
      <c r="H6" s="3"/>
      <c r="I6" t="s">
        <v>17</v>
      </c>
      <c r="J6" t="s">
        <v>26</v>
      </c>
      <c r="K6" t="s">
        <v>16</v>
      </c>
      <c r="M6" t="s">
        <v>15</v>
      </c>
    </row>
    <row r="7" spans="1:13" x14ac:dyDescent="0.35">
      <c r="C7" s="1" t="s">
        <v>0</v>
      </c>
      <c r="D7" s="1">
        <f>SUM(D3:D6)</f>
        <v>2</v>
      </c>
      <c r="E7" s="1"/>
      <c r="F7" s="1"/>
      <c r="G7" s="9">
        <f>SUM(G3:G6)</f>
        <v>906.67000000000007</v>
      </c>
    </row>
    <row r="10" spans="1:13" x14ac:dyDescent="0.35">
      <c r="A10" t="s">
        <v>14</v>
      </c>
      <c r="B10" t="s">
        <v>13</v>
      </c>
      <c r="C10" t="s">
        <v>12</v>
      </c>
      <c r="D10" t="s">
        <v>11</v>
      </c>
      <c r="E10" t="s">
        <v>10</v>
      </c>
      <c r="F10" t="s">
        <v>9</v>
      </c>
      <c r="G10" t="s">
        <v>8</v>
      </c>
      <c r="H10" t="s">
        <v>7</v>
      </c>
      <c r="I10" t="s">
        <v>6</v>
      </c>
      <c r="J10" t="s">
        <v>33</v>
      </c>
      <c r="K10" t="s">
        <v>5</v>
      </c>
      <c r="L10" t="s">
        <v>4</v>
      </c>
      <c r="M10" t="s">
        <v>3</v>
      </c>
    </row>
    <row r="11" spans="1:13" x14ac:dyDescent="0.35">
      <c r="A11" s="4">
        <v>46315</v>
      </c>
      <c r="B11" s="7">
        <v>13500</v>
      </c>
      <c r="C11" t="s">
        <v>22</v>
      </c>
      <c r="D11">
        <v>15</v>
      </c>
      <c r="E11" t="s">
        <v>21</v>
      </c>
      <c r="F11" s="3">
        <v>10</v>
      </c>
      <c r="G11" s="3">
        <f>F11*D11</f>
        <v>150</v>
      </c>
      <c r="H11">
        <v>11123</v>
      </c>
      <c r="J11" t="s">
        <v>26</v>
      </c>
      <c r="L11" t="s">
        <v>27</v>
      </c>
    </row>
    <row r="12" spans="1:13" x14ac:dyDescent="0.35">
      <c r="A12" s="4">
        <v>46315</v>
      </c>
      <c r="B12" s="7">
        <v>13500</v>
      </c>
      <c r="C12" t="s">
        <v>22</v>
      </c>
      <c r="D12">
        <v>-6</v>
      </c>
      <c r="E12" t="s">
        <v>21</v>
      </c>
      <c r="F12" s="5">
        <v>-10</v>
      </c>
      <c r="G12" s="5">
        <v>-60</v>
      </c>
      <c r="I12" t="s">
        <v>24</v>
      </c>
      <c r="J12" t="s">
        <v>26</v>
      </c>
      <c r="K12" t="s">
        <v>16</v>
      </c>
      <c r="M12" t="s">
        <v>23</v>
      </c>
    </row>
    <row r="13" spans="1:13" x14ac:dyDescent="0.35">
      <c r="A13" s="4">
        <v>46315</v>
      </c>
      <c r="B13" s="7">
        <v>13500</v>
      </c>
      <c r="C13" t="s">
        <v>22</v>
      </c>
      <c r="D13">
        <v>20</v>
      </c>
      <c r="E13" t="s">
        <v>21</v>
      </c>
      <c r="F13" s="5">
        <v>12</v>
      </c>
      <c r="G13" s="5">
        <f>12*20</f>
        <v>240</v>
      </c>
      <c r="H13">
        <v>13464</v>
      </c>
      <c r="J13" t="s">
        <v>26</v>
      </c>
      <c r="L13" t="s">
        <v>27</v>
      </c>
    </row>
    <row r="14" spans="1:13" x14ac:dyDescent="0.35">
      <c r="A14" s="4">
        <v>46316</v>
      </c>
      <c r="B14" s="7">
        <v>13500</v>
      </c>
      <c r="C14" t="s">
        <v>22</v>
      </c>
      <c r="D14">
        <v>-5</v>
      </c>
      <c r="E14" t="s">
        <v>21</v>
      </c>
      <c r="F14" s="5">
        <v>-11.38</v>
      </c>
      <c r="G14" s="5">
        <f>F14*5</f>
        <v>-56.900000000000006</v>
      </c>
      <c r="I14" t="s">
        <v>17</v>
      </c>
      <c r="J14" t="s">
        <v>26</v>
      </c>
      <c r="K14" t="s">
        <v>20</v>
      </c>
      <c r="M14" t="s">
        <v>15</v>
      </c>
    </row>
    <row r="15" spans="1:13" x14ac:dyDescent="0.35">
      <c r="A15" s="4">
        <v>46316</v>
      </c>
      <c r="B15" s="7">
        <v>13500</v>
      </c>
      <c r="C15" t="s">
        <v>22</v>
      </c>
      <c r="D15">
        <v>-3</v>
      </c>
      <c r="E15" t="s">
        <v>21</v>
      </c>
      <c r="F15" s="5">
        <v>-11.38</v>
      </c>
      <c r="G15" s="5">
        <f>F15*3</f>
        <v>-34.14</v>
      </c>
      <c r="I15" t="s">
        <v>17</v>
      </c>
      <c r="J15" t="s">
        <v>26</v>
      </c>
      <c r="K15" t="s">
        <v>20</v>
      </c>
      <c r="M15" t="s">
        <v>15</v>
      </c>
    </row>
    <row r="16" spans="1:13" x14ac:dyDescent="0.35">
      <c r="C16" s="1" t="s">
        <v>0</v>
      </c>
      <c r="D16" s="1">
        <f>SUM(D11:D15)</f>
        <v>21</v>
      </c>
      <c r="E16" s="1"/>
      <c r="F16" s="1"/>
      <c r="G16" s="1">
        <f>SUM(G11:G15)</f>
        <v>238.96000000000004</v>
      </c>
    </row>
    <row r="19" spans="1:13" x14ac:dyDescent="0.35">
      <c r="A19" t="s">
        <v>14</v>
      </c>
      <c r="B19" t="s">
        <v>13</v>
      </c>
      <c r="C19" t="s">
        <v>12</v>
      </c>
      <c r="D19" t="s">
        <v>11</v>
      </c>
      <c r="E19" t="s">
        <v>10</v>
      </c>
      <c r="F19" t="s">
        <v>9</v>
      </c>
      <c r="G19" t="s">
        <v>8</v>
      </c>
      <c r="H19" t="s">
        <v>7</v>
      </c>
      <c r="I19" t="s">
        <v>6</v>
      </c>
      <c r="J19" t="s">
        <v>33</v>
      </c>
      <c r="K19" t="s">
        <v>5</v>
      </c>
      <c r="L19" t="s">
        <v>4</v>
      </c>
      <c r="M19" t="s">
        <v>3</v>
      </c>
    </row>
    <row r="20" spans="1:13" x14ac:dyDescent="0.35">
      <c r="A20" s="4">
        <v>46296</v>
      </c>
      <c r="B20" s="7">
        <v>11002</v>
      </c>
      <c r="C20" t="s">
        <v>32</v>
      </c>
      <c r="G20" s="5">
        <v>3000</v>
      </c>
      <c r="J20" t="s">
        <v>26</v>
      </c>
    </row>
    <row r="21" spans="1:13" x14ac:dyDescent="0.35">
      <c r="A21" s="4">
        <v>46315</v>
      </c>
      <c r="B21" s="7">
        <v>11002</v>
      </c>
      <c r="C21" t="s">
        <v>19</v>
      </c>
      <c r="D21">
        <v>3</v>
      </c>
      <c r="E21" t="s">
        <v>18</v>
      </c>
      <c r="F21" s="3">
        <v>450</v>
      </c>
      <c r="G21" s="8">
        <f>-F21*D21</f>
        <v>-1350</v>
      </c>
      <c r="H21">
        <v>133244</v>
      </c>
      <c r="J21" t="s">
        <v>26</v>
      </c>
      <c r="L21" t="s">
        <v>27</v>
      </c>
    </row>
    <row r="22" spans="1:13" x14ac:dyDescent="0.35">
      <c r="A22" s="4">
        <v>46315</v>
      </c>
      <c r="B22" s="7">
        <v>11002</v>
      </c>
      <c r="C22" t="s">
        <v>22</v>
      </c>
      <c r="D22">
        <v>15</v>
      </c>
      <c r="E22" t="s">
        <v>21</v>
      </c>
      <c r="F22" s="3">
        <v>10</v>
      </c>
      <c r="G22" s="5">
        <f>-F22*D22</f>
        <v>-150</v>
      </c>
      <c r="H22">
        <v>11123</v>
      </c>
      <c r="J22" t="s">
        <v>26</v>
      </c>
      <c r="L22" t="s">
        <v>27</v>
      </c>
    </row>
    <row r="23" spans="1:13" x14ac:dyDescent="0.35">
      <c r="A23" s="4">
        <v>46315</v>
      </c>
      <c r="B23" s="7">
        <v>11002</v>
      </c>
      <c r="C23" t="s">
        <v>22</v>
      </c>
      <c r="D23">
        <v>20</v>
      </c>
      <c r="E23" t="s">
        <v>21</v>
      </c>
      <c r="F23" s="5">
        <v>12</v>
      </c>
      <c r="G23" s="5">
        <f>-12*20</f>
        <v>-240</v>
      </c>
      <c r="H23">
        <v>13464</v>
      </c>
      <c r="J23" t="s">
        <v>26</v>
      </c>
      <c r="L23" t="s">
        <v>27</v>
      </c>
    </row>
    <row r="24" spans="1:13" x14ac:dyDescent="0.35">
      <c r="A24" s="4">
        <v>46315</v>
      </c>
      <c r="B24" s="7">
        <v>11002</v>
      </c>
      <c r="C24" t="s">
        <v>31</v>
      </c>
      <c r="F24" s="3"/>
      <c r="G24" s="5">
        <v>703</v>
      </c>
      <c r="H24" t="s">
        <v>30</v>
      </c>
      <c r="I24" t="s">
        <v>24</v>
      </c>
      <c r="J24" t="s">
        <v>26</v>
      </c>
      <c r="L24" t="s">
        <v>27</v>
      </c>
    </row>
    <row r="25" spans="1:13" x14ac:dyDescent="0.35">
      <c r="A25" s="4">
        <v>46315</v>
      </c>
      <c r="B25" s="7">
        <v>11002</v>
      </c>
      <c r="C25" t="s">
        <v>29</v>
      </c>
      <c r="F25" s="3"/>
      <c r="G25" s="5">
        <v>660</v>
      </c>
      <c r="H25" t="s">
        <v>28</v>
      </c>
      <c r="I25" t="s">
        <v>17</v>
      </c>
      <c r="J25" t="s">
        <v>26</v>
      </c>
      <c r="L25" t="s">
        <v>27</v>
      </c>
    </row>
    <row r="26" spans="1:13" x14ac:dyDescent="0.35">
      <c r="A26" s="4">
        <v>46317</v>
      </c>
      <c r="B26" s="7">
        <v>11002</v>
      </c>
      <c r="C26" t="s">
        <v>19</v>
      </c>
      <c r="D26">
        <v>1</v>
      </c>
      <c r="E26" t="s">
        <v>18</v>
      </c>
      <c r="F26" s="3">
        <v>460</v>
      </c>
      <c r="G26" s="8">
        <v>-460</v>
      </c>
      <c r="H26">
        <v>133213</v>
      </c>
      <c r="J26" t="s">
        <v>26</v>
      </c>
      <c r="L26" t="s">
        <v>25</v>
      </c>
    </row>
    <row r="27" spans="1:13" x14ac:dyDescent="0.35">
      <c r="A27" s="4">
        <v>46318</v>
      </c>
      <c r="B27" s="7">
        <v>11002</v>
      </c>
      <c r="C27" t="s">
        <v>1</v>
      </c>
      <c r="F27" s="3"/>
      <c r="G27" s="8">
        <v>50</v>
      </c>
      <c r="J27" t="s">
        <v>26</v>
      </c>
    </row>
    <row r="28" spans="1:13" x14ac:dyDescent="0.35">
      <c r="C28" s="1" t="s">
        <v>0</v>
      </c>
      <c r="D28" s="6">
        <f>SUM(D20:D27)</f>
        <v>39</v>
      </c>
      <c r="E28" s="1"/>
      <c r="F28" s="1"/>
      <c r="G28" s="6">
        <f>SUM(G20:G27)</f>
        <v>2213</v>
      </c>
    </row>
    <row r="31" spans="1:13" x14ac:dyDescent="0.35">
      <c r="A31" t="s">
        <v>14</v>
      </c>
      <c r="B31" t="s">
        <v>13</v>
      </c>
      <c r="C31" t="s">
        <v>12</v>
      </c>
      <c r="D31" t="s">
        <v>11</v>
      </c>
      <c r="E31" t="s">
        <v>10</v>
      </c>
      <c r="F31" t="s">
        <v>9</v>
      </c>
      <c r="G31" t="s">
        <v>8</v>
      </c>
      <c r="H31" t="s">
        <v>7</v>
      </c>
      <c r="I31" t="s">
        <v>6</v>
      </c>
      <c r="J31" t="s">
        <v>33</v>
      </c>
      <c r="K31" t="s">
        <v>5</v>
      </c>
      <c r="L31" t="s">
        <v>4</v>
      </c>
      <c r="M31" t="s">
        <v>3</v>
      </c>
    </row>
    <row r="32" spans="1:13" x14ac:dyDescent="0.35">
      <c r="A32" s="4">
        <v>46316</v>
      </c>
      <c r="B32" s="7">
        <v>50001</v>
      </c>
      <c r="C32" t="s">
        <v>19</v>
      </c>
      <c r="D32">
        <v>1</v>
      </c>
      <c r="E32" t="s">
        <v>18</v>
      </c>
      <c r="F32" s="3">
        <v>450</v>
      </c>
      <c r="G32" s="3">
        <v>450</v>
      </c>
      <c r="H32" s="3"/>
      <c r="I32" t="s">
        <v>24</v>
      </c>
      <c r="J32" t="s">
        <v>26</v>
      </c>
      <c r="K32" t="s">
        <v>20</v>
      </c>
      <c r="M32" t="s">
        <v>23</v>
      </c>
    </row>
    <row r="33" spans="1:13" x14ac:dyDescent="0.35">
      <c r="A33" s="4">
        <v>46315</v>
      </c>
      <c r="B33" s="7">
        <v>50001</v>
      </c>
      <c r="C33" t="s">
        <v>22</v>
      </c>
      <c r="D33">
        <v>6</v>
      </c>
      <c r="E33" t="s">
        <v>21</v>
      </c>
      <c r="F33" s="5">
        <v>10</v>
      </c>
      <c r="G33" s="5">
        <v>60</v>
      </c>
      <c r="I33" t="s">
        <v>24</v>
      </c>
      <c r="J33" t="s">
        <v>26</v>
      </c>
      <c r="K33" t="s">
        <v>16</v>
      </c>
      <c r="M33" t="s">
        <v>23</v>
      </c>
    </row>
    <row r="34" spans="1:13" x14ac:dyDescent="0.35">
      <c r="A34" s="4">
        <v>46316</v>
      </c>
      <c r="B34" s="7">
        <v>50001</v>
      </c>
      <c r="C34" t="s">
        <v>22</v>
      </c>
      <c r="D34">
        <v>5</v>
      </c>
      <c r="E34" t="s">
        <v>21</v>
      </c>
      <c r="F34" s="5">
        <v>11.38</v>
      </c>
      <c r="G34" s="5">
        <v>56.9</v>
      </c>
      <c r="I34" t="s">
        <v>17</v>
      </c>
      <c r="J34" t="s">
        <v>26</v>
      </c>
      <c r="K34" t="s">
        <v>20</v>
      </c>
      <c r="M34" t="s">
        <v>15</v>
      </c>
    </row>
    <row r="35" spans="1:13" x14ac:dyDescent="0.35">
      <c r="A35" s="4">
        <v>46316</v>
      </c>
      <c r="B35" s="7">
        <v>50001</v>
      </c>
      <c r="C35" t="s">
        <v>22</v>
      </c>
      <c r="D35">
        <v>3</v>
      </c>
      <c r="E35" t="s">
        <v>21</v>
      </c>
      <c r="F35" s="5">
        <v>11.38</v>
      </c>
      <c r="G35" s="5">
        <v>34.14</v>
      </c>
      <c r="I35" t="s">
        <v>17</v>
      </c>
      <c r="J35" t="s">
        <v>26</v>
      </c>
      <c r="K35" t="s">
        <v>20</v>
      </c>
      <c r="M35" t="s">
        <v>15</v>
      </c>
    </row>
    <row r="36" spans="1:13" x14ac:dyDescent="0.35">
      <c r="A36" s="4">
        <v>46317</v>
      </c>
      <c r="B36" s="7">
        <v>50001</v>
      </c>
      <c r="C36" t="s">
        <v>19</v>
      </c>
      <c r="D36">
        <v>1</v>
      </c>
      <c r="E36" t="s">
        <v>18</v>
      </c>
      <c r="F36" s="3">
        <v>453.33</v>
      </c>
      <c r="G36" s="3">
        <v>453.33</v>
      </c>
      <c r="H36" s="3"/>
      <c r="I36" t="s">
        <v>17</v>
      </c>
      <c r="J36" t="s">
        <v>26</v>
      </c>
      <c r="K36" t="s">
        <v>16</v>
      </c>
      <c r="M36" t="s">
        <v>15</v>
      </c>
    </row>
    <row r="37" spans="1:13" x14ac:dyDescent="0.35">
      <c r="C37" s="1" t="s">
        <v>0</v>
      </c>
      <c r="D37" s="1">
        <f>SUM(D32:D36)</f>
        <v>16</v>
      </c>
      <c r="E37" s="1"/>
      <c r="F37" s="1"/>
      <c r="G37" s="6">
        <f>SUM(G32:G36)</f>
        <v>1054.3699999999999</v>
      </c>
    </row>
    <row r="39" spans="1:13" x14ac:dyDescent="0.35">
      <c r="A39" t="s">
        <v>14</v>
      </c>
      <c r="B39" t="s">
        <v>13</v>
      </c>
      <c r="C39" t="s">
        <v>12</v>
      </c>
      <c r="D39" t="s">
        <v>11</v>
      </c>
      <c r="E39" t="s">
        <v>10</v>
      </c>
      <c r="F39" t="s">
        <v>9</v>
      </c>
      <c r="G39" t="s">
        <v>8</v>
      </c>
      <c r="H39" t="s">
        <v>7</v>
      </c>
      <c r="I39" t="s">
        <v>6</v>
      </c>
      <c r="J39" t="s">
        <v>33</v>
      </c>
      <c r="K39" t="s">
        <v>5</v>
      </c>
      <c r="L39" t="s">
        <v>4</v>
      </c>
      <c r="M39" t="s">
        <v>3</v>
      </c>
    </row>
    <row r="40" spans="1:13" x14ac:dyDescent="0.35">
      <c r="A40" s="4">
        <v>46296</v>
      </c>
      <c r="B40">
        <v>12001</v>
      </c>
      <c r="C40" t="s">
        <v>2</v>
      </c>
      <c r="G40" s="5">
        <v>100</v>
      </c>
      <c r="J40" t="s">
        <v>26</v>
      </c>
    </row>
    <row r="41" spans="1:13" x14ac:dyDescent="0.35">
      <c r="A41" s="4">
        <v>46318</v>
      </c>
      <c r="B41">
        <v>12001</v>
      </c>
      <c r="C41" t="s">
        <v>1</v>
      </c>
      <c r="F41" s="3"/>
      <c r="G41" s="2">
        <v>-50</v>
      </c>
      <c r="J41" t="s">
        <v>26</v>
      </c>
    </row>
    <row r="42" spans="1:13" x14ac:dyDescent="0.35">
      <c r="C42" s="1" t="s">
        <v>0</v>
      </c>
      <c r="D42" s="1">
        <f>SUM(D40:D41)</f>
        <v>0</v>
      </c>
      <c r="E42" s="1"/>
      <c r="F42" s="1"/>
      <c r="G42" s="1">
        <f>SUM(G40:G41)</f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យកតាម Account មួយៗ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DALA computer</dc:creator>
  <cp:lastModifiedBy>DALA computer</cp:lastModifiedBy>
  <dcterms:created xsi:type="dcterms:W3CDTF">2026-10-25T14:06:58Z</dcterms:created>
  <dcterms:modified xsi:type="dcterms:W3CDTF">2026-10-25T14:15:47Z</dcterms:modified>
</cp:coreProperties>
</file>