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LA computer\Desktop\System\"/>
    </mc:Choice>
  </mc:AlternateContent>
  <bookViews>
    <workbookView xWindow="0" yWindow="0" windowWidth="19200" windowHeight="7350" activeTab="2"/>
  </bookViews>
  <sheets>
    <sheet name="Trial Balance" sheetId="1" r:id="rId1"/>
    <sheet name="Income Statment" sheetId="3" r:id="rId2"/>
    <sheet name="Balance sheet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3" l="1"/>
  <c r="D10" i="4"/>
  <c r="F56" i="1"/>
  <c r="D53" i="4"/>
  <c r="D30" i="3"/>
  <c r="D26" i="4"/>
  <c r="D13" i="4"/>
  <c r="D8" i="4"/>
  <c r="D15" i="3"/>
  <c r="D10" i="3"/>
  <c r="D9" i="3"/>
  <c r="E80" i="1"/>
  <c r="F62" i="1"/>
  <c r="F63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9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J56" i="1" l="1"/>
  <c r="E60" i="4" l="1"/>
  <c r="F60" i="4"/>
  <c r="E58" i="4"/>
  <c r="F58" i="4"/>
  <c r="E50" i="4"/>
  <c r="F50" i="4"/>
  <c r="E39" i="4"/>
  <c r="F39" i="4"/>
  <c r="G33" i="3" l="1"/>
  <c r="F32" i="3"/>
  <c r="E32" i="3"/>
  <c r="F13" i="3"/>
  <c r="F17" i="3" s="1"/>
  <c r="E13" i="3"/>
  <c r="E17" i="3" s="1"/>
  <c r="D39" i="4" l="1"/>
  <c r="D50" i="4"/>
  <c r="E34" i="3"/>
  <c r="F34" i="3"/>
  <c r="D13" i="3"/>
  <c r="G32" i="3" l="1"/>
  <c r="D17" i="3"/>
  <c r="G13" i="3"/>
  <c r="D34" i="3" l="1"/>
  <c r="D56" i="4" s="1"/>
  <c r="D58" i="4" s="1"/>
  <c r="G17" i="3"/>
  <c r="D60" i="4" l="1"/>
  <c r="D62" i="4" s="1"/>
  <c r="G34" i="3"/>
  <c r="H80" i="1" l="1"/>
  <c r="G80" i="1"/>
  <c r="G81" i="1" l="1"/>
  <c r="J80" i="1"/>
  <c r="F80" i="1"/>
  <c r="I80" i="1"/>
  <c r="E81" i="1" l="1"/>
  <c r="I81" i="1"/>
</calcChain>
</file>

<file path=xl/sharedStrings.xml><?xml version="1.0" encoding="utf-8"?>
<sst xmlns="http://schemas.openxmlformats.org/spreadsheetml/2006/main" count="234" uniqueCount="96">
  <si>
    <t>Trial Balance</t>
  </si>
  <si>
    <t>សំរាប់ខែ Sep</t>
  </si>
  <si>
    <t>A/c Code</t>
  </si>
  <si>
    <t>Description</t>
  </si>
  <si>
    <t>Debit</t>
  </si>
  <si>
    <t>Credit</t>
  </si>
  <si>
    <t>Year to date Last month</t>
  </si>
  <si>
    <t>Year to date Current month</t>
  </si>
  <si>
    <t>ទ្រព្យ</t>
  </si>
  <si>
    <t>សាច់ប្រាក់</t>
  </si>
  <si>
    <t>សាច់ប្រាក់នៅបេលា</t>
  </si>
  <si>
    <t>សាច់ប្រាក់នៅធនាគា ABA</t>
  </si>
  <si>
    <t>បុគ្គលិកជំពាក់</t>
  </si>
  <si>
    <t>ម៉ូទ័រជុំរុញទឹក</t>
  </si>
  <si>
    <t>(ឆ្នាំងបាយ,កង្ហា,ម៉ាស៊ីនទឹកក្តៅទឹកត្រជាក់....)</t>
  </si>
  <si>
    <t>ម៉ាស៊ីនត្រជាក់</t>
  </si>
  <si>
    <t>ម៉ាស៊ីនបោកខោអាវ</t>
  </si>
  <si>
    <t>ទូទឹកកក</t>
  </si>
  <si>
    <t>គណនីត្រូវទទូលបាន​(គេជំពាក់យើង)</t>
  </si>
  <si>
    <t>អតិថិជនជំពាក់</t>
  </si>
  <si>
    <t>បំណុល</t>
  </si>
  <si>
    <t>អតិថិជនកក់</t>
  </si>
  <si>
    <t>ដើមទុន</t>
  </si>
  <si>
    <t>ដើមទុនវិនិយោគ</t>
  </si>
  <si>
    <t>ចំណេញ/​ខាត​(-) ក្នុងឆ្នាំ 2026</t>
  </si>
  <si>
    <t>ចំណេញ/​ខាត​(-) ខែមុន 2023 and 2024,2025</t>
  </si>
  <si>
    <t>ចំណូល</t>
  </si>
  <si>
    <t>ចំណូលពីការលក់</t>
  </si>
  <si>
    <t>ចំណូលពីការសេវាកម្ម</t>
  </si>
  <si>
    <t>ចំណូលពីការលក់ (ក្នុងបូរី)</t>
  </si>
  <si>
    <t>ចំណូលពីការសេវាកម្ម (ក្នុងបូរី)</t>
  </si>
  <si>
    <t>ចំណូលផ្សេងៗ</t>
  </si>
  <si>
    <t>5000-</t>
  </si>
  <si>
    <t>ចំណាយ</t>
  </si>
  <si>
    <t>ចំណាយទៅលើថ្លៃដើម</t>
  </si>
  <si>
    <t>ចំណាយប្រាក់ខែបុគ្គលិក</t>
  </si>
  <si>
    <t>ចំណាយសំរាប់សំភារៈការិយាល័យ</t>
  </si>
  <si>
    <t>ចំណាយជួល Office</t>
  </si>
  <si>
    <t>ចំណាយទឹកភ្លើង</t>
  </si>
  <si>
    <t>ចំណាយ​ជូសជុល Office</t>
  </si>
  <si>
    <t>ចំណាយទៅលើការផ្សោះផ្សាយ</t>
  </si>
  <si>
    <t>ចំណាយ​ទៅលើកាធ្វើដំណើរ</t>
  </si>
  <si>
    <t>ចំណាយ​ផ្សេងៗ</t>
  </si>
  <si>
    <t>សំភារះជាងប្រើប្រាស់</t>
  </si>
  <si>
    <t>Total</t>
  </si>
  <si>
    <t>សាច់ប្រាក់នៅធនាគា ACLEDA</t>
  </si>
  <si>
    <t>គណនីត្រូវទទូលផ្សេងៗ</t>
  </si>
  <si>
    <t>សម្ភារះសម្រាប់ជាងប្រប្រាស់</t>
  </si>
  <si>
    <t>ទុយោស្ពាន់</t>
  </si>
  <si>
    <t>ស្តុកថ្មី</t>
  </si>
  <si>
    <t>ខ្សែភ្លើង</t>
  </si>
  <si>
    <t>ហ្គេនទុយោស្ពាន់</t>
  </si>
  <si>
    <t>ប្រអប់ខ្សែភ្លើង</t>
  </si>
  <si>
    <t>ស្តុក Second hand</t>
  </si>
  <si>
    <t>ជំពាក់ថ្លៃម៉ាស៊ីនត្រជាក់</t>
  </si>
  <si>
    <t>ជំពាក់ម៉ាស៊ីនបោកក់</t>
  </si>
  <si>
    <t>ជំពាក់ទៅអ្នកផ្គត់ផ្គង់ផ្សេងៗ</t>
  </si>
  <si>
    <t>ភ្ញៀវអោយធីបជាង</t>
  </si>
  <si>
    <t>អត្ថប្រយោជន៍បន្ថែមទៅបុគ្គលិក</t>
  </si>
  <si>
    <t>Note</t>
  </si>
  <si>
    <t>P&amp;L</t>
  </si>
  <si>
    <t>BS</t>
  </si>
  <si>
    <t>ម៉ាស៊ីនត្រជាក់ជាប់ជញ្ជាំង Panasonic</t>
  </si>
  <si>
    <t>ម៉ាស៊ីនត្រជាក់ជាប់ពិដាន Panasonic</t>
  </si>
  <si>
    <t>ម៉ាស៊ីនត្រជាក់បញ្ឈរ Panasonic</t>
  </si>
  <si>
    <t>ម៉ាស៊ីនត្រជាក់ជាប់ជញ្ជាំង Daikin</t>
  </si>
  <si>
    <t>ម៉ាស៊ីនត្រជាក់ជាប់ពិដាន Daikin</t>
  </si>
  <si>
    <t>ម៉ាស៊ីនត្រជាក់បញ្ឈរ Daikin</t>
  </si>
  <si>
    <t>ម៉ាស៊ីនត្រជាក់បញ្ឈរ LG</t>
  </si>
  <si>
    <t>ម៉ាស៊ីនត្រជាក់ជាប់ជញ្ជាំង LG</t>
  </si>
  <si>
    <t>ម៉ាស៊ីនត្រជាក់ជាប់ពិដាន LG</t>
  </si>
  <si>
    <t>ម៉ាស៊ីនត្រជាក់ជាប់ជញ្ជាំង Gree</t>
  </si>
  <si>
    <t>ម៉ាស៊ីនត្រជាក់ជាប់ពិដាន Gree</t>
  </si>
  <si>
    <t>ម៉ាស៊ីនត្រជាក់បញ្ឈរ Gree</t>
  </si>
  <si>
    <t>របាយការណ៍ចំណេញ/(ខាត)</t>
  </si>
  <si>
    <t>Current month</t>
  </si>
  <si>
    <t>Last Month</t>
  </si>
  <si>
    <t>Year to Date Last month</t>
  </si>
  <si>
    <t xml:space="preserve">     Year to Date 202​​6                (ខែ1,2,3,4,5,6,7,8,9)</t>
  </si>
  <si>
    <t>ចំណូលសរុប</t>
  </si>
  <si>
    <t>ចំណេញដុល</t>
  </si>
  <si>
    <t>ចំណាយសរុប</t>
  </si>
  <si>
    <t>ចំណេញ/​ខាត​(-)</t>
  </si>
  <si>
    <t>Balance Sheet</t>
  </si>
  <si>
    <t xml:space="preserve"> </t>
  </si>
  <si>
    <t>ទ្រព្យសរុប</t>
  </si>
  <si>
    <t>បំណុលសរុប</t>
  </si>
  <si>
    <t>មូលធន</t>
  </si>
  <si>
    <t>មូលធនសរុប</t>
  </si>
  <si>
    <t>Total Liabilitiest and Equity</t>
  </si>
  <si>
    <t>Checked</t>
  </si>
  <si>
    <t>ចំណេញ/​ខាត​(-) មុនឆ្នាំ2026</t>
  </si>
  <si>
    <t>ចំណេញ/​ខាត​(-) ប្រចាំខែ</t>
  </si>
  <si>
    <t>Current Month</t>
  </si>
  <si>
    <t>Difference</t>
  </si>
  <si>
    <t>ចំណាយ​បញ្ចុះតម្លៃ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</si>
</sst>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doubleAccounting"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 val="doubleAccounting"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164" fontId="0" fillId="0" borderId="1" xfId="1" applyFont="1" applyBorder="1"/>
    <xf numFmtId="164" fontId="0" fillId="0" borderId="1" xfId="0" applyNumberFormat="1" applyBorder="1"/>
    <xf numFmtId="165" fontId="0" fillId="0" borderId="1" xfId="0" applyNumberFormat="1" applyBorder="1"/>
    <xf numFmtId="0" fontId="6" fillId="0" borderId="1" xfId="0" applyFont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2" fillId="0" borderId="1" xfId="2" applyFont="1" applyBorder="1"/>
    <xf numFmtId="165" fontId="0" fillId="0" borderId="0" xfId="0" applyNumberFormat="1"/>
    <xf numFmtId="0" fontId="0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5" fontId="0" fillId="0" borderId="0" xfId="2" applyFont="1"/>
    <xf numFmtId="164" fontId="0" fillId="0" borderId="0" xfId="1" applyFont="1"/>
    <xf numFmtId="44" fontId="0" fillId="0" borderId="0" xfId="0" applyNumberFormat="1"/>
    <xf numFmtId="0" fontId="7" fillId="0" borderId="0" xfId="0" applyFont="1"/>
    <xf numFmtId="165" fontId="12" fillId="0" borderId="0" xfId="2" applyFont="1"/>
    <xf numFmtId="164" fontId="12" fillId="0" borderId="0" xfId="0" applyNumberFormat="1" applyFont="1"/>
    <xf numFmtId="165" fontId="0" fillId="0" borderId="0" xfId="2" applyFont="1" applyBorder="1"/>
    <xf numFmtId="164" fontId="0" fillId="0" borderId="0" xfId="0" applyNumberFormat="1"/>
    <xf numFmtId="165" fontId="1" fillId="0" borderId="0" xfId="2" applyFont="1" applyBorder="1"/>
    <xf numFmtId="165" fontId="13" fillId="0" borderId="0" xfId="2" applyFont="1" applyBorder="1"/>
    <xf numFmtId="165" fontId="13" fillId="0" borderId="0" xfId="0" applyNumberFormat="1" applyFont="1"/>
    <xf numFmtId="0" fontId="2" fillId="0" borderId="0" xfId="0" applyFont="1" applyAlignment="1">
      <alignment vertical="center" wrapText="1"/>
    </xf>
    <xf numFmtId="165" fontId="14" fillId="0" borderId="0" xfId="2" applyFont="1"/>
    <xf numFmtId="164" fontId="14" fillId="0" borderId="0" xfId="0" applyNumberFormat="1" applyFont="1"/>
    <xf numFmtId="0" fontId="15" fillId="0" borderId="0" xfId="0" applyFont="1"/>
    <xf numFmtId="0" fontId="16" fillId="0" borderId="0" xfId="0" applyFont="1"/>
    <xf numFmtId="0" fontId="11" fillId="0" borderId="0" xfId="0" applyFont="1"/>
    <xf numFmtId="0" fontId="17" fillId="0" borderId="0" xfId="0" applyFont="1"/>
    <xf numFmtId="164" fontId="18" fillId="0" borderId="0" xfId="0" applyNumberFormat="1" applyFont="1"/>
    <xf numFmtId="0" fontId="6" fillId="0" borderId="0" xfId="0" applyFont="1"/>
    <xf numFmtId="0" fontId="19" fillId="0" borderId="0" xfId="0" applyFont="1"/>
    <xf numFmtId="164" fontId="20" fillId="0" borderId="0" xfId="0" applyNumberFormat="1" applyFont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Font="1" applyBorder="1"/>
    <xf numFmtId="0" fontId="8" fillId="0" borderId="0" xfId="0" applyFont="1" applyBorder="1"/>
    <xf numFmtId="0" fontId="0" fillId="0" borderId="0" xfId="0"/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Currency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143208</xdr:colOff>
      <xdr:row>0</xdr:row>
      <xdr:rowOff>121237</xdr:rowOff>
    </xdr:from>
    <xdr:to>
      <xdr:col>2</xdr:col>
      <xdr:colOff>1028700</xdr:colOff>
      <xdr:row>4</xdr:row>
      <xdr:rowOff>1953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89DCEA8-DC91-95F6-BD63-15A3AD52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58" y="121237"/>
          <a:ext cx="1501442" cy="13285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248920</xdr:colOff>
      <xdr:row>0</xdr:row>
      <xdr:rowOff>0</xdr:rowOff>
    </xdr:from>
    <xdr:to>
      <xdr:col>2</xdr:col>
      <xdr:colOff>996950</xdr:colOff>
      <xdr:row>3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1C3DE36-6922-4293-A296-F080F3157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920" y="0"/>
          <a:ext cx="157988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opLeftCell="A4" workbookViewId="0">
      <selection activeCell="E67" sqref="E67"/>
    </sheetView>
  </sheetViews>
  <sheetFormatPr defaultColWidth="8.81640625" defaultRowHeight="14.5" x14ac:dyDescent="0.35"/>
  <cols>
    <col min="1" max="1" width="4" customWidth="1"/>
    <col min="2" max="2" width="7" customWidth="1"/>
    <col min="3" max="3" width="6.81640625" customWidth="1"/>
    <col min="4" max="4" width="39.54296875" customWidth="1"/>
    <col min="5" max="5" width="13" customWidth="1"/>
    <col min="6" max="6" width="14.08984375" customWidth="1"/>
    <col min="7" max="10" width="12.453125" bestFit="1" customWidth="1"/>
    <col min="11" max="11" width="23" bestFit="1" customWidth="1"/>
    <col min="12" max="12" width="11.08984375" bestFit="1" customWidth="1"/>
  </cols>
  <sheetData>
    <row r="1" spans="1:10" ht="39.75" customHeight="1" x14ac:dyDescent="0.35"/>
    <row r="2" spans="1:10" ht="18.75" customHeight="1" x14ac:dyDescent="0.45">
      <c r="B2" s="54" t="s">
        <v>0</v>
      </c>
      <c r="C2" s="54"/>
      <c r="D2" s="54"/>
      <c r="E2" s="54"/>
      <c r="F2" s="54"/>
    </row>
    <row r="3" spans="1:10" ht="18.5" x14ac:dyDescent="0.45">
      <c r="A3" s="55" t="s">
        <v>1</v>
      </c>
      <c r="B3" s="55"/>
      <c r="C3" s="55"/>
      <c r="D3" s="55"/>
      <c r="E3" s="55"/>
      <c r="F3" s="55"/>
      <c r="G3" s="1"/>
      <c r="H3" s="1"/>
    </row>
    <row r="4" spans="1:10" ht="18" customHeight="1" x14ac:dyDescent="0.45">
      <c r="B4" s="2"/>
      <c r="C4" s="2"/>
      <c r="D4" s="3"/>
      <c r="E4" s="4"/>
      <c r="F4" s="5"/>
      <c r="G4" s="1"/>
    </row>
    <row r="5" spans="1:10" ht="18" customHeight="1" x14ac:dyDescent="0.35">
      <c r="A5" s="56" t="s">
        <v>59</v>
      </c>
      <c r="B5" s="57" t="s">
        <v>2</v>
      </c>
      <c r="C5" s="57"/>
      <c r="D5" s="57" t="s">
        <v>3</v>
      </c>
      <c r="E5" s="57" t="s">
        <v>4</v>
      </c>
      <c r="F5" s="57" t="s">
        <v>5</v>
      </c>
      <c r="G5" s="53" t="s">
        <v>6</v>
      </c>
      <c r="H5" s="53"/>
      <c r="I5" s="53" t="s">
        <v>7</v>
      </c>
      <c r="J5" s="53"/>
    </row>
    <row r="6" spans="1:10" ht="18.75" customHeight="1" x14ac:dyDescent="0.35">
      <c r="A6" s="56"/>
      <c r="B6" s="57"/>
      <c r="C6" s="57"/>
      <c r="D6" s="57"/>
      <c r="E6" s="57"/>
      <c r="F6" s="57"/>
      <c r="G6" s="6" t="s">
        <v>4</v>
      </c>
      <c r="H6" s="6" t="s">
        <v>5</v>
      </c>
      <c r="I6" s="6" t="s">
        <v>4</v>
      </c>
      <c r="J6" s="6" t="s">
        <v>5</v>
      </c>
    </row>
    <row r="7" spans="1:10" ht="18" customHeight="1" x14ac:dyDescent="0.35">
      <c r="A7" s="7" t="s">
        <v>61</v>
      </c>
      <c r="B7" s="8">
        <v>10000</v>
      </c>
      <c r="C7" s="8"/>
      <c r="D7" s="8" t="s">
        <v>8</v>
      </c>
      <c r="E7" s="8"/>
      <c r="F7" s="8"/>
      <c r="G7" s="8"/>
      <c r="H7" s="8"/>
      <c r="I7" s="8"/>
      <c r="J7" s="8"/>
    </row>
    <row r="8" spans="1:10" ht="18" customHeight="1" x14ac:dyDescent="0.35">
      <c r="A8" s="7" t="s">
        <v>61</v>
      </c>
      <c r="B8" s="8">
        <v>11000</v>
      </c>
      <c r="C8" s="8"/>
      <c r="D8" s="8" t="s">
        <v>9</v>
      </c>
      <c r="E8" s="7"/>
      <c r="F8" s="7"/>
      <c r="G8" s="7"/>
      <c r="H8" s="7"/>
      <c r="I8" s="7"/>
      <c r="J8" s="7"/>
    </row>
    <row r="9" spans="1:10" ht="18" customHeight="1" x14ac:dyDescent="0.35">
      <c r="A9" s="7" t="s">
        <v>61</v>
      </c>
      <c r="B9" s="7"/>
      <c r="C9" s="7">
        <v>11001</v>
      </c>
      <c r="D9" s="7" t="s">
        <v>10</v>
      </c>
      <c r="E9" s="9"/>
      <c r="F9" s="7"/>
      <c r="G9" s="9"/>
      <c r="H9" s="10"/>
      <c r="I9" s="9">
        <f t="shared" ref="I9:I40" si="0">E9</f>
        <v>0</v>
      </c>
      <c r="J9" s="10">
        <f>F9</f>
        <v>0</v>
      </c>
    </row>
    <row r="10" spans="1:10" ht="18" customHeight="1" x14ac:dyDescent="0.35">
      <c r="A10" s="7" t="s">
        <v>61</v>
      </c>
      <c r="B10" s="7"/>
      <c r="C10" s="7">
        <v>11002</v>
      </c>
      <c r="D10" s="7" t="s">
        <v>45</v>
      </c>
      <c r="E10" s="9">
        <v>2213</v>
      </c>
      <c r="F10" s="7"/>
      <c r="G10" s="9"/>
      <c r="H10" s="10"/>
      <c r="I10" s="9">
        <f t="shared" si="0"/>
        <v>2213</v>
      </c>
      <c r="J10" s="10">
        <f t="shared" ref="J10:J58" si="1">F10</f>
        <v>0</v>
      </c>
    </row>
    <row r="11" spans="1:10" ht="18" customHeight="1" x14ac:dyDescent="0.35">
      <c r="A11" s="7" t="s">
        <v>61</v>
      </c>
      <c r="B11" s="7"/>
      <c r="C11" s="7">
        <v>11003</v>
      </c>
      <c r="D11" s="7" t="s">
        <v>11</v>
      </c>
      <c r="E11" s="9"/>
      <c r="F11" s="7"/>
      <c r="G11" s="9"/>
      <c r="H11" s="10"/>
      <c r="I11" s="9">
        <f t="shared" si="0"/>
        <v>0</v>
      </c>
      <c r="J11" s="10">
        <f t="shared" si="1"/>
        <v>0</v>
      </c>
    </row>
    <row r="12" spans="1:10" ht="18" customHeight="1" x14ac:dyDescent="0.35">
      <c r="A12" s="7" t="s">
        <v>61</v>
      </c>
      <c r="B12" s="7"/>
      <c r="C12" s="7"/>
      <c r="D12" s="7"/>
      <c r="E12" s="9"/>
      <c r="F12" s="7"/>
      <c r="G12" s="9"/>
      <c r="H12" s="10"/>
      <c r="I12" s="9">
        <f t="shared" si="0"/>
        <v>0</v>
      </c>
      <c r="J12" s="10">
        <f t="shared" si="1"/>
        <v>0</v>
      </c>
    </row>
    <row r="13" spans="1:10" ht="18" customHeight="1" x14ac:dyDescent="0.35">
      <c r="A13" s="7" t="s">
        <v>61</v>
      </c>
      <c r="B13" s="8">
        <v>12000</v>
      </c>
      <c r="C13" s="8"/>
      <c r="D13" s="8" t="s">
        <v>18</v>
      </c>
      <c r="E13" s="7"/>
      <c r="F13" s="7"/>
      <c r="G13" s="10"/>
      <c r="H13" s="10"/>
      <c r="I13" s="10">
        <f t="shared" si="0"/>
        <v>0</v>
      </c>
      <c r="J13" s="10">
        <f t="shared" si="1"/>
        <v>0</v>
      </c>
    </row>
    <row r="14" spans="1:10" ht="18" customHeight="1" x14ac:dyDescent="0.35">
      <c r="A14" s="7" t="s">
        <v>61</v>
      </c>
      <c r="B14" s="7"/>
      <c r="C14" s="7">
        <v>12001</v>
      </c>
      <c r="D14" s="7" t="s">
        <v>12</v>
      </c>
      <c r="E14" s="9">
        <v>50</v>
      </c>
      <c r="F14" s="7"/>
      <c r="G14" s="9"/>
      <c r="H14" s="10"/>
      <c r="I14" s="9">
        <f t="shared" si="0"/>
        <v>50</v>
      </c>
      <c r="J14" s="10">
        <f t="shared" si="1"/>
        <v>0</v>
      </c>
    </row>
    <row r="15" spans="1:10" ht="18" customHeight="1" x14ac:dyDescent="0.35">
      <c r="A15" s="7" t="s">
        <v>61</v>
      </c>
      <c r="B15" s="7"/>
      <c r="C15" s="7">
        <v>12002</v>
      </c>
      <c r="D15" s="7" t="s">
        <v>19</v>
      </c>
      <c r="E15" s="9"/>
      <c r="F15" s="7"/>
      <c r="G15" s="9"/>
      <c r="H15" s="10"/>
      <c r="I15" s="9">
        <f t="shared" si="0"/>
        <v>0</v>
      </c>
      <c r="J15" s="10">
        <f t="shared" si="1"/>
        <v>0</v>
      </c>
    </row>
    <row r="16" spans="1:10" ht="18" customHeight="1" x14ac:dyDescent="0.35">
      <c r="A16" s="7" t="s">
        <v>61</v>
      </c>
      <c r="B16" s="7"/>
      <c r="C16" s="7">
        <v>12003</v>
      </c>
      <c r="D16" s="7" t="s">
        <v>46</v>
      </c>
      <c r="E16" s="9"/>
      <c r="F16" s="7"/>
      <c r="G16" s="9"/>
      <c r="H16" s="10"/>
      <c r="I16" s="9">
        <f t="shared" si="0"/>
        <v>0</v>
      </c>
      <c r="J16" s="10">
        <f t="shared" si="1"/>
        <v>0</v>
      </c>
    </row>
    <row r="17" spans="1:10" ht="18" customHeight="1" x14ac:dyDescent="0.35">
      <c r="A17" s="7" t="s">
        <v>61</v>
      </c>
      <c r="B17" s="7"/>
      <c r="C17" s="7"/>
      <c r="D17" s="7"/>
      <c r="E17" s="9"/>
      <c r="F17" s="7"/>
      <c r="G17" s="9"/>
      <c r="H17" s="10"/>
      <c r="I17" s="9">
        <f t="shared" si="0"/>
        <v>0</v>
      </c>
      <c r="J17" s="10">
        <f t="shared" si="1"/>
        <v>0</v>
      </c>
    </row>
    <row r="18" spans="1:10" ht="18" customHeight="1" x14ac:dyDescent="0.35">
      <c r="A18" s="7" t="s">
        <v>61</v>
      </c>
      <c r="B18" s="8">
        <v>13000</v>
      </c>
      <c r="C18" s="7"/>
      <c r="D18" s="8" t="s">
        <v>49</v>
      </c>
      <c r="E18" s="9"/>
      <c r="F18" s="7"/>
      <c r="G18" s="9"/>
      <c r="H18" s="10"/>
      <c r="I18" s="9">
        <f t="shared" si="0"/>
        <v>0</v>
      </c>
      <c r="J18" s="10">
        <f t="shared" si="1"/>
        <v>0</v>
      </c>
    </row>
    <row r="19" spans="1:10" ht="18" customHeight="1" x14ac:dyDescent="0.35">
      <c r="A19" s="7" t="s">
        <v>61</v>
      </c>
      <c r="B19" s="8"/>
      <c r="C19" s="7">
        <v>13110</v>
      </c>
      <c r="D19" s="7" t="s">
        <v>62</v>
      </c>
      <c r="E19" s="9">
        <v>906.67000000000007</v>
      </c>
      <c r="F19" s="7"/>
      <c r="G19" s="9"/>
      <c r="H19" s="10"/>
      <c r="I19" s="9">
        <f t="shared" si="0"/>
        <v>906.67000000000007</v>
      </c>
      <c r="J19" s="10">
        <f t="shared" si="1"/>
        <v>0</v>
      </c>
    </row>
    <row r="20" spans="1:10" ht="18" customHeight="1" x14ac:dyDescent="0.35">
      <c r="A20" s="7" t="s">
        <v>61</v>
      </c>
      <c r="B20" s="8"/>
      <c r="C20" s="7">
        <v>13120</v>
      </c>
      <c r="D20" s="7" t="s">
        <v>63</v>
      </c>
      <c r="E20" s="7"/>
      <c r="F20" s="7"/>
      <c r="G20" s="9"/>
      <c r="H20" s="10"/>
      <c r="I20" s="9">
        <f t="shared" si="0"/>
        <v>0</v>
      </c>
      <c r="J20" s="10">
        <f t="shared" si="1"/>
        <v>0</v>
      </c>
    </row>
    <row r="21" spans="1:10" ht="18" customHeight="1" x14ac:dyDescent="0.35">
      <c r="A21" s="7" t="s">
        <v>61</v>
      </c>
      <c r="B21" s="8"/>
      <c r="C21" s="7">
        <v>13130</v>
      </c>
      <c r="D21" s="7" t="s">
        <v>64</v>
      </c>
      <c r="E21" s="9"/>
      <c r="F21" s="7"/>
      <c r="G21" s="9"/>
      <c r="H21" s="10"/>
      <c r="I21" s="9">
        <f t="shared" si="0"/>
        <v>0</v>
      </c>
      <c r="J21" s="10">
        <f t="shared" si="1"/>
        <v>0</v>
      </c>
    </row>
    <row r="22" spans="1:10" ht="18" customHeight="1" x14ac:dyDescent="0.35">
      <c r="A22" s="7" t="s">
        <v>61</v>
      </c>
      <c r="B22" s="8"/>
      <c r="C22" s="7">
        <v>13210</v>
      </c>
      <c r="D22" s="7" t="s">
        <v>65</v>
      </c>
      <c r="E22" s="9"/>
      <c r="F22" s="7"/>
      <c r="G22" s="9"/>
      <c r="H22" s="10"/>
      <c r="I22" s="9">
        <f t="shared" si="0"/>
        <v>0</v>
      </c>
      <c r="J22" s="10">
        <f t="shared" si="1"/>
        <v>0</v>
      </c>
    </row>
    <row r="23" spans="1:10" ht="18" customHeight="1" x14ac:dyDescent="0.35">
      <c r="A23" s="7" t="s">
        <v>61</v>
      </c>
      <c r="B23" s="8"/>
      <c r="C23" s="7">
        <v>13220</v>
      </c>
      <c r="D23" s="7" t="s">
        <v>66</v>
      </c>
      <c r="E23" s="9"/>
      <c r="F23" s="7"/>
      <c r="G23" s="9"/>
      <c r="H23" s="10"/>
      <c r="I23" s="9">
        <f t="shared" si="0"/>
        <v>0</v>
      </c>
      <c r="J23" s="10">
        <f t="shared" si="1"/>
        <v>0</v>
      </c>
    </row>
    <row r="24" spans="1:10" ht="18" customHeight="1" x14ac:dyDescent="0.35">
      <c r="A24" s="7" t="s">
        <v>61</v>
      </c>
      <c r="B24" s="8"/>
      <c r="C24" s="7">
        <v>13230</v>
      </c>
      <c r="D24" s="7" t="s">
        <v>67</v>
      </c>
      <c r="E24" s="9"/>
      <c r="F24" s="7"/>
      <c r="G24" s="9"/>
      <c r="H24" s="10"/>
      <c r="I24" s="9">
        <f t="shared" si="0"/>
        <v>0</v>
      </c>
      <c r="J24" s="10">
        <f t="shared" si="1"/>
        <v>0</v>
      </c>
    </row>
    <row r="25" spans="1:10" ht="18" customHeight="1" x14ac:dyDescent="0.35">
      <c r="A25" s="7" t="s">
        <v>61</v>
      </c>
      <c r="B25" s="8"/>
      <c r="C25" s="7">
        <v>13310</v>
      </c>
      <c r="D25" s="7" t="s">
        <v>69</v>
      </c>
      <c r="E25" s="9"/>
      <c r="F25" s="7"/>
      <c r="G25" s="9"/>
      <c r="H25" s="10"/>
      <c r="I25" s="9">
        <f t="shared" si="0"/>
        <v>0</v>
      </c>
      <c r="J25" s="10">
        <f t="shared" si="1"/>
        <v>0</v>
      </c>
    </row>
    <row r="26" spans="1:10" ht="18" customHeight="1" x14ac:dyDescent="0.35">
      <c r="A26" s="7" t="s">
        <v>61</v>
      </c>
      <c r="B26" s="8"/>
      <c r="C26" s="7">
        <v>13320</v>
      </c>
      <c r="D26" s="7" t="s">
        <v>70</v>
      </c>
      <c r="E26" s="9"/>
      <c r="F26" s="7"/>
      <c r="G26" s="9"/>
      <c r="H26" s="10"/>
      <c r="I26" s="9">
        <f t="shared" si="0"/>
        <v>0</v>
      </c>
      <c r="J26" s="10">
        <f t="shared" si="1"/>
        <v>0</v>
      </c>
    </row>
    <row r="27" spans="1:10" ht="18" customHeight="1" x14ac:dyDescent="0.35">
      <c r="A27" s="7" t="s">
        <v>61</v>
      </c>
      <c r="B27" s="8"/>
      <c r="C27" s="7">
        <v>13330</v>
      </c>
      <c r="D27" s="7" t="s">
        <v>68</v>
      </c>
      <c r="E27" s="9"/>
      <c r="F27" s="7"/>
      <c r="G27" s="9"/>
      <c r="H27" s="10"/>
      <c r="I27" s="9">
        <f t="shared" si="0"/>
        <v>0</v>
      </c>
      <c r="J27" s="10">
        <f t="shared" si="1"/>
        <v>0</v>
      </c>
    </row>
    <row r="28" spans="1:10" ht="18" customHeight="1" x14ac:dyDescent="0.35">
      <c r="A28" s="7" t="s">
        <v>61</v>
      </c>
      <c r="B28" s="8"/>
      <c r="C28" s="7">
        <v>13310</v>
      </c>
      <c r="D28" s="7" t="s">
        <v>71</v>
      </c>
      <c r="E28" s="9"/>
      <c r="F28" s="7"/>
      <c r="G28" s="9"/>
      <c r="H28" s="10"/>
      <c r="I28" s="9">
        <f t="shared" si="0"/>
        <v>0</v>
      </c>
      <c r="J28" s="10">
        <f t="shared" si="1"/>
        <v>0</v>
      </c>
    </row>
    <row r="29" spans="1:10" ht="18" customHeight="1" x14ac:dyDescent="0.35">
      <c r="A29" s="7" t="s">
        <v>61</v>
      </c>
      <c r="B29" s="8"/>
      <c r="C29" s="7">
        <v>13320</v>
      </c>
      <c r="D29" s="7" t="s">
        <v>72</v>
      </c>
      <c r="E29" s="9"/>
      <c r="F29" s="7"/>
      <c r="G29" s="9"/>
      <c r="H29" s="10"/>
      <c r="I29" s="9">
        <f t="shared" si="0"/>
        <v>0</v>
      </c>
      <c r="J29" s="10">
        <f t="shared" si="1"/>
        <v>0</v>
      </c>
    </row>
    <row r="30" spans="1:10" ht="18" customHeight="1" x14ac:dyDescent="0.35">
      <c r="A30" s="7" t="s">
        <v>61</v>
      </c>
      <c r="B30" s="8"/>
      <c r="C30" s="7">
        <v>13330</v>
      </c>
      <c r="D30" s="7" t="s">
        <v>73</v>
      </c>
      <c r="E30" s="9"/>
      <c r="F30" s="7"/>
      <c r="G30" s="9"/>
      <c r="H30" s="10"/>
      <c r="I30" s="9">
        <f t="shared" si="0"/>
        <v>0</v>
      </c>
      <c r="J30" s="10">
        <f t="shared" si="1"/>
        <v>0</v>
      </c>
    </row>
    <row r="31" spans="1:10" ht="18" customHeight="1" x14ac:dyDescent="0.35">
      <c r="A31" s="7" t="s">
        <v>61</v>
      </c>
      <c r="B31" s="8"/>
      <c r="C31" s="7">
        <v>13400</v>
      </c>
      <c r="D31" s="18" t="s">
        <v>48</v>
      </c>
      <c r="E31" s="9"/>
      <c r="F31" s="7"/>
      <c r="G31" s="9"/>
      <c r="H31" s="10"/>
      <c r="I31" s="9">
        <f t="shared" si="0"/>
        <v>0</v>
      </c>
      <c r="J31" s="10">
        <f t="shared" si="1"/>
        <v>0</v>
      </c>
    </row>
    <row r="32" spans="1:10" ht="18" customHeight="1" x14ac:dyDescent="0.35">
      <c r="A32" s="7" t="s">
        <v>61</v>
      </c>
      <c r="B32" s="8"/>
      <c r="C32" s="7">
        <v>13500</v>
      </c>
      <c r="D32" s="7" t="s">
        <v>51</v>
      </c>
      <c r="E32" s="9">
        <v>238.96000000000004</v>
      </c>
      <c r="F32" s="7"/>
      <c r="G32" s="9"/>
      <c r="H32" s="10"/>
      <c r="I32" s="9">
        <f t="shared" si="0"/>
        <v>238.96000000000004</v>
      </c>
      <c r="J32" s="10">
        <f t="shared" si="1"/>
        <v>0</v>
      </c>
    </row>
    <row r="33" spans="1:10" ht="18" customHeight="1" x14ac:dyDescent="0.35">
      <c r="A33" s="7" t="s">
        <v>61</v>
      </c>
      <c r="B33" s="8"/>
      <c r="C33" s="7">
        <v>13600</v>
      </c>
      <c r="D33" s="7" t="s">
        <v>52</v>
      </c>
      <c r="E33" s="9"/>
      <c r="F33" s="7"/>
      <c r="G33" s="9"/>
      <c r="H33" s="10"/>
      <c r="I33" s="9">
        <f t="shared" si="0"/>
        <v>0</v>
      </c>
      <c r="J33" s="10">
        <f t="shared" si="1"/>
        <v>0</v>
      </c>
    </row>
    <row r="34" spans="1:10" ht="18" customHeight="1" x14ac:dyDescent="0.35">
      <c r="A34" s="7" t="s">
        <v>61</v>
      </c>
      <c r="B34" s="8"/>
      <c r="C34" s="7">
        <v>13700</v>
      </c>
      <c r="D34" s="7" t="s">
        <v>50</v>
      </c>
      <c r="E34" s="9"/>
      <c r="F34" s="7"/>
      <c r="G34" s="9"/>
      <c r="H34" s="10"/>
      <c r="I34" s="9">
        <f t="shared" si="0"/>
        <v>0</v>
      </c>
      <c r="J34" s="10">
        <f t="shared" si="1"/>
        <v>0</v>
      </c>
    </row>
    <row r="35" spans="1:10" ht="18" customHeight="1" x14ac:dyDescent="0.35">
      <c r="A35" s="7" t="s">
        <v>61</v>
      </c>
      <c r="B35" s="8"/>
      <c r="C35" s="7">
        <v>14100</v>
      </c>
      <c r="D35" s="7" t="s">
        <v>16</v>
      </c>
      <c r="E35" s="9"/>
      <c r="F35" s="7"/>
      <c r="G35" s="9"/>
      <c r="H35" s="10"/>
      <c r="I35" s="9">
        <f t="shared" si="0"/>
        <v>0</v>
      </c>
      <c r="J35" s="10">
        <f t="shared" si="1"/>
        <v>0</v>
      </c>
    </row>
    <row r="36" spans="1:10" ht="18" customHeight="1" x14ac:dyDescent="0.35">
      <c r="A36" s="7" t="s">
        <v>61</v>
      </c>
      <c r="B36" s="8"/>
      <c r="C36" s="7">
        <v>14200</v>
      </c>
      <c r="D36" s="7" t="s">
        <v>17</v>
      </c>
      <c r="E36" s="9"/>
      <c r="F36" s="7"/>
      <c r="G36" s="9"/>
      <c r="H36" s="10"/>
      <c r="I36" s="9">
        <f t="shared" si="0"/>
        <v>0</v>
      </c>
      <c r="J36" s="10">
        <f t="shared" si="1"/>
        <v>0</v>
      </c>
    </row>
    <row r="37" spans="1:10" ht="18" customHeight="1" x14ac:dyDescent="0.35">
      <c r="A37" s="7" t="s">
        <v>61</v>
      </c>
      <c r="B37" s="8"/>
      <c r="C37" s="7">
        <v>14300</v>
      </c>
      <c r="D37" s="7" t="s">
        <v>13</v>
      </c>
      <c r="E37" s="9"/>
      <c r="F37" s="7"/>
      <c r="G37" s="9"/>
      <c r="H37" s="10"/>
      <c r="I37" s="9">
        <f t="shared" si="0"/>
        <v>0</v>
      </c>
      <c r="J37" s="10">
        <f t="shared" si="1"/>
        <v>0</v>
      </c>
    </row>
    <row r="38" spans="1:10" ht="18" customHeight="1" x14ac:dyDescent="0.35">
      <c r="A38" s="7" t="s">
        <v>61</v>
      </c>
      <c r="B38" s="8"/>
      <c r="C38" s="7">
        <v>14400</v>
      </c>
      <c r="D38" s="7" t="s">
        <v>14</v>
      </c>
      <c r="E38" s="9"/>
      <c r="F38" s="7"/>
      <c r="G38" s="9"/>
      <c r="H38" s="10"/>
      <c r="I38" s="9">
        <f t="shared" si="0"/>
        <v>0</v>
      </c>
      <c r="J38" s="10">
        <f t="shared" si="1"/>
        <v>0</v>
      </c>
    </row>
    <row r="39" spans="1:10" ht="18" customHeight="1" x14ac:dyDescent="0.35">
      <c r="A39" s="7" t="s">
        <v>61</v>
      </c>
      <c r="B39" s="8"/>
      <c r="C39" s="7">
        <v>14500</v>
      </c>
      <c r="D39" s="7" t="s">
        <v>47</v>
      </c>
      <c r="E39" s="9"/>
      <c r="F39" s="7"/>
      <c r="G39" s="9"/>
      <c r="H39" s="10"/>
      <c r="I39" s="9">
        <f t="shared" si="0"/>
        <v>0</v>
      </c>
      <c r="J39" s="10">
        <f t="shared" si="1"/>
        <v>0</v>
      </c>
    </row>
    <row r="40" spans="1:10" ht="18" customHeight="1" x14ac:dyDescent="0.35">
      <c r="A40" s="7"/>
      <c r="B40" s="8"/>
      <c r="C40" s="7"/>
      <c r="D40" s="7"/>
      <c r="E40" s="9"/>
      <c r="F40" s="7"/>
      <c r="G40" s="9"/>
      <c r="H40" s="10"/>
      <c r="I40" s="9">
        <f t="shared" si="0"/>
        <v>0</v>
      </c>
      <c r="J40" s="10">
        <f t="shared" si="1"/>
        <v>0</v>
      </c>
    </row>
    <row r="41" spans="1:10" ht="18" customHeight="1" x14ac:dyDescent="0.35">
      <c r="A41" s="7" t="s">
        <v>61</v>
      </c>
      <c r="B41" s="20">
        <v>18000</v>
      </c>
      <c r="C41" s="20"/>
      <c r="D41" s="12" t="s">
        <v>53</v>
      </c>
      <c r="E41" s="9"/>
      <c r="F41" s="11"/>
      <c r="G41" s="9"/>
      <c r="H41" s="10"/>
      <c r="I41" s="9">
        <f t="shared" ref="I41:I58" si="2">E41</f>
        <v>0</v>
      </c>
      <c r="J41" s="10">
        <f t="shared" si="1"/>
        <v>0</v>
      </c>
    </row>
    <row r="42" spans="1:10" ht="18" customHeight="1" x14ac:dyDescent="0.35">
      <c r="A42" s="7" t="s">
        <v>61</v>
      </c>
      <c r="B42" s="7"/>
      <c r="C42" s="19">
        <v>18100</v>
      </c>
      <c r="D42" s="7" t="s">
        <v>15</v>
      </c>
      <c r="E42" s="9"/>
      <c r="F42" s="11"/>
      <c r="G42" s="9"/>
      <c r="H42" s="10"/>
      <c r="I42" s="9">
        <f t="shared" si="2"/>
        <v>0</v>
      </c>
      <c r="J42" s="10">
        <f t="shared" si="1"/>
        <v>0</v>
      </c>
    </row>
    <row r="43" spans="1:10" ht="18" customHeight="1" x14ac:dyDescent="0.35">
      <c r="A43" s="7" t="s">
        <v>61</v>
      </c>
      <c r="B43" s="7"/>
      <c r="C43" s="19">
        <v>18200</v>
      </c>
      <c r="D43" s="7" t="s">
        <v>16</v>
      </c>
      <c r="E43" s="9"/>
      <c r="F43" s="11"/>
      <c r="G43" s="9"/>
      <c r="H43" s="10"/>
      <c r="I43" s="9">
        <f t="shared" si="2"/>
        <v>0</v>
      </c>
      <c r="J43" s="10">
        <f t="shared" si="1"/>
        <v>0</v>
      </c>
    </row>
    <row r="44" spans="1:10" ht="18" customHeight="1" x14ac:dyDescent="0.35">
      <c r="A44" s="7" t="s">
        <v>61</v>
      </c>
      <c r="B44" s="7"/>
      <c r="C44" s="19">
        <v>18300</v>
      </c>
      <c r="D44" s="7" t="s">
        <v>17</v>
      </c>
      <c r="E44" s="9"/>
      <c r="F44" s="11"/>
      <c r="G44" s="9"/>
      <c r="H44" s="10"/>
      <c r="I44" s="9">
        <f t="shared" si="2"/>
        <v>0</v>
      </c>
      <c r="J44" s="10">
        <f t="shared" si="1"/>
        <v>0</v>
      </c>
    </row>
    <row r="45" spans="1:10" ht="18" customHeight="1" x14ac:dyDescent="0.35">
      <c r="A45" s="7" t="s">
        <v>61</v>
      </c>
      <c r="B45" s="7"/>
      <c r="C45" s="19">
        <v>18400</v>
      </c>
      <c r="D45" s="7" t="s">
        <v>13</v>
      </c>
      <c r="E45" s="9"/>
      <c r="F45" s="11"/>
      <c r="G45" s="9"/>
      <c r="H45" s="10"/>
      <c r="I45" s="9">
        <f t="shared" si="2"/>
        <v>0</v>
      </c>
      <c r="J45" s="10">
        <f t="shared" si="1"/>
        <v>0</v>
      </c>
    </row>
    <row r="46" spans="1:10" ht="18" customHeight="1" x14ac:dyDescent="0.35">
      <c r="A46" s="7"/>
      <c r="B46" s="7"/>
      <c r="C46" s="7"/>
      <c r="D46" s="7"/>
      <c r="E46" s="9"/>
      <c r="F46" s="7"/>
      <c r="G46" s="9"/>
      <c r="H46" s="10"/>
      <c r="I46" s="9">
        <f t="shared" si="2"/>
        <v>0</v>
      </c>
      <c r="J46" s="10">
        <f t="shared" si="1"/>
        <v>0</v>
      </c>
    </row>
    <row r="47" spans="1:10" ht="18" customHeight="1" x14ac:dyDescent="0.35">
      <c r="A47" s="7"/>
      <c r="B47" s="8">
        <v>20000</v>
      </c>
      <c r="C47" s="7"/>
      <c r="D47" s="8" t="s">
        <v>20</v>
      </c>
      <c r="E47" s="7"/>
      <c r="F47" s="7"/>
      <c r="G47" s="10"/>
      <c r="H47" s="10"/>
      <c r="I47" s="9">
        <f t="shared" si="2"/>
        <v>0</v>
      </c>
      <c r="J47" s="10">
        <f t="shared" si="1"/>
        <v>0</v>
      </c>
    </row>
    <row r="48" spans="1:10" ht="18" customHeight="1" x14ac:dyDescent="0.35">
      <c r="A48" s="7" t="s">
        <v>61</v>
      </c>
      <c r="B48" s="8"/>
      <c r="C48" s="7">
        <v>20001</v>
      </c>
      <c r="D48" s="7" t="s">
        <v>54</v>
      </c>
      <c r="E48" s="7"/>
      <c r="F48" s="9"/>
      <c r="G48" s="10"/>
      <c r="H48" s="9"/>
      <c r="I48" s="9">
        <f t="shared" si="2"/>
        <v>0</v>
      </c>
      <c r="J48" s="10">
        <f t="shared" si="1"/>
        <v>0</v>
      </c>
    </row>
    <row r="49" spans="1:10" ht="18" customHeight="1" x14ac:dyDescent="0.35">
      <c r="A49" s="7" t="s">
        <v>61</v>
      </c>
      <c r="B49" s="8"/>
      <c r="C49" s="7">
        <v>20002</v>
      </c>
      <c r="D49" s="7" t="s">
        <v>55</v>
      </c>
      <c r="E49" s="7"/>
      <c r="F49" s="9"/>
      <c r="G49" s="10"/>
      <c r="H49" s="9"/>
      <c r="I49" s="9">
        <f t="shared" si="2"/>
        <v>0</v>
      </c>
      <c r="J49" s="10">
        <f t="shared" si="1"/>
        <v>0</v>
      </c>
    </row>
    <row r="50" spans="1:10" ht="18" customHeight="1" x14ac:dyDescent="0.35">
      <c r="A50" s="7" t="s">
        <v>61</v>
      </c>
      <c r="B50" s="8"/>
      <c r="C50" s="7">
        <v>20003</v>
      </c>
      <c r="D50" s="7" t="s">
        <v>56</v>
      </c>
      <c r="E50" s="7"/>
      <c r="F50" s="9"/>
      <c r="G50" s="10"/>
      <c r="H50" s="9"/>
      <c r="I50" s="9">
        <f t="shared" si="2"/>
        <v>0</v>
      </c>
      <c r="J50" s="10">
        <f t="shared" si="1"/>
        <v>0</v>
      </c>
    </row>
    <row r="51" spans="1:10" ht="18" customHeight="1" x14ac:dyDescent="0.35">
      <c r="A51" s="7" t="s">
        <v>61</v>
      </c>
      <c r="B51" s="8"/>
      <c r="C51" s="7">
        <v>20004</v>
      </c>
      <c r="D51" s="7" t="s">
        <v>21</v>
      </c>
      <c r="E51" s="7"/>
      <c r="F51" s="9"/>
      <c r="G51" s="10"/>
      <c r="H51" s="9"/>
      <c r="I51" s="9">
        <f t="shared" si="2"/>
        <v>0</v>
      </c>
      <c r="J51" s="10">
        <f t="shared" si="1"/>
        <v>0</v>
      </c>
    </row>
    <row r="52" spans="1:10" ht="18" customHeight="1" x14ac:dyDescent="0.35">
      <c r="A52" s="7" t="s">
        <v>61</v>
      </c>
      <c r="B52" s="8"/>
      <c r="C52" s="7">
        <v>20005</v>
      </c>
      <c r="D52" s="7" t="s">
        <v>57</v>
      </c>
      <c r="E52" s="7"/>
      <c r="F52" s="9"/>
      <c r="G52" s="10"/>
      <c r="H52" s="9"/>
      <c r="I52" s="9">
        <f t="shared" si="2"/>
        <v>0</v>
      </c>
      <c r="J52" s="10">
        <f t="shared" si="1"/>
        <v>0</v>
      </c>
    </row>
    <row r="53" spans="1:10" ht="18" customHeight="1" x14ac:dyDescent="0.35">
      <c r="A53" s="7" t="s">
        <v>61</v>
      </c>
      <c r="B53" s="8">
        <v>21000</v>
      </c>
      <c r="C53" s="7"/>
      <c r="D53" s="8" t="s">
        <v>58</v>
      </c>
      <c r="E53" s="7"/>
      <c r="F53" s="9"/>
      <c r="G53" s="10"/>
      <c r="H53" s="9"/>
      <c r="I53" s="9">
        <f t="shared" si="2"/>
        <v>0</v>
      </c>
      <c r="J53" s="10">
        <f t="shared" si="1"/>
        <v>0</v>
      </c>
    </row>
    <row r="54" spans="1:10" ht="18" customHeight="1" x14ac:dyDescent="0.35">
      <c r="A54" s="7" t="s">
        <v>61</v>
      </c>
      <c r="B54" s="8"/>
      <c r="C54" s="7">
        <v>21001</v>
      </c>
      <c r="D54" s="7" t="s">
        <v>58</v>
      </c>
      <c r="E54" s="7"/>
      <c r="F54" s="9"/>
      <c r="G54" s="10"/>
      <c r="H54" s="9"/>
      <c r="I54" s="9">
        <f t="shared" si="2"/>
        <v>0</v>
      </c>
      <c r="J54" s="10">
        <f t="shared" si="1"/>
        <v>0</v>
      </c>
    </row>
    <row r="55" spans="1:10" ht="18" customHeight="1" x14ac:dyDescent="0.35">
      <c r="A55" s="7" t="s">
        <v>61</v>
      </c>
      <c r="B55" s="8">
        <v>30000</v>
      </c>
      <c r="C55" s="7"/>
      <c r="D55" s="8" t="s">
        <v>22</v>
      </c>
      <c r="E55" s="7"/>
      <c r="F55" s="7"/>
      <c r="G55" s="10"/>
      <c r="H55" s="10"/>
      <c r="I55" s="9">
        <f t="shared" si="2"/>
        <v>0</v>
      </c>
      <c r="J55" s="10">
        <f t="shared" si="1"/>
        <v>0</v>
      </c>
    </row>
    <row r="56" spans="1:10" ht="18" customHeight="1" x14ac:dyDescent="0.35">
      <c r="A56" s="7" t="s">
        <v>61</v>
      </c>
      <c r="B56" s="8"/>
      <c r="C56" s="7">
        <v>30001</v>
      </c>
      <c r="D56" s="7" t="s">
        <v>23</v>
      </c>
      <c r="E56" s="9"/>
      <c r="F56" s="11">
        <f>3000+100</f>
        <v>3100</v>
      </c>
      <c r="G56" s="9"/>
      <c r="H56" s="10"/>
      <c r="I56" s="9">
        <f t="shared" si="2"/>
        <v>0</v>
      </c>
      <c r="J56" s="10">
        <f t="shared" si="1"/>
        <v>3100</v>
      </c>
    </row>
    <row r="57" spans="1:10" ht="18" customHeight="1" x14ac:dyDescent="0.35">
      <c r="A57" s="7" t="s">
        <v>61</v>
      </c>
      <c r="B57" s="8"/>
      <c r="C57" s="7">
        <v>30002</v>
      </c>
      <c r="D57" s="7" t="s">
        <v>24</v>
      </c>
      <c r="E57" s="9"/>
      <c r="F57" s="11"/>
      <c r="G57" s="9"/>
      <c r="H57" s="10"/>
      <c r="I57" s="9">
        <f t="shared" si="2"/>
        <v>0</v>
      </c>
      <c r="J57" s="10">
        <f t="shared" si="1"/>
        <v>0</v>
      </c>
    </row>
    <row r="58" spans="1:10" ht="18" customHeight="1" x14ac:dyDescent="0.35">
      <c r="A58" s="7" t="s">
        <v>61</v>
      </c>
      <c r="B58" s="8"/>
      <c r="C58" s="7">
        <v>30003</v>
      </c>
      <c r="D58" s="7" t="s">
        <v>25</v>
      </c>
      <c r="E58" s="9"/>
      <c r="F58" s="11"/>
      <c r="G58" s="9"/>
      <c r="H58" s="10"/>
      <c r="I58" s="9">
        <f t="shared" si="2"/>
        <v>0</v>
      </c>
      <c r="J58" s="10">
        <f t="shared" si="1"/>
        <v>0</v>
      </c>
    </row>
    <row r="59" spans="1:10" ht="18" customHeight="1" x14ac:dyDescent="0.35">
      <c r="A59" s="7"/>
      <c r="B59" s="8">
        <v>40000</v>
      </c>
      <c r="C59" s="8"/>
      <c r="D59" s="8" t="s">
        <v>26</v>
      </c>
      <c r="E59" s="7"/>
      <c r="F59" s="7"/>
      <c r="G59" s="10"/>
      <c r="H59" s="10"/>
      <c r="I59" s="9"/>
      <c r="J59" s="10"/>
    </row>
    <row r="60" spans="1:10" ht="18" customHeight="1" x14ac:dyDescent="0.35">
      <c r="A60" s="7" t="s">
        <v>60</v>
      </c>
      <c r="B60" s="7"/>
      <c r="C60" s="7">
        <v>40001</v>
      </c>
      <c r="D60" s="7" t="s">
        <v>27</v>
      </c>
      <c r="E60" s="7"/>
      <c r="F60" s="7"/>
      <c r="G60" s="10"/>
      <c r="H60" s="9"/>
      <c r="I60" s="9">
        <f t="shared" ref="I60:I78" si="3">G60+E60</f>
        <v>0</v>
      </c>
      <c r="J60" s="9">
        <f t="shared" ref="J60:J78" si="4">H60+F60</f>
        <v>0</v>
      </c>
    </row>
    <row r="61" spans="1:10" ht="18" customHeight="1" x14ac:dyDescent="0.35">
      <c r="A61" s="7" t="s">
        <v>60</v>
      </c>
      <c r="B61" s="7"/>
      <c r="C61" s="7">
        <v>40002</v>
      </c>
      <c r="D61" s="7" t="s">
        <v>28</v>
      </c>
      <c r="E61" s="7"/>
      <c r="F61" s="7"/>
      <c r="G61" s="10"/>
      <c r="H61" s="9"/>
      <c r="I61" s="9">
        <f t="shared" si="3"/>
        <v>0</v>
      </c>
      <c r="J61" s="10">
        <f t="shared" si="4"/>
        <v>0</v>
      </c>
    </row>
    <row r="62" spans="1:10" ht="18" customHeight="1" x14ac:dyDescent="0.35">
      <c r="A62" s="7" t="s">
        <v>60</v>
      </c>
      <c r="B62" s="7"/>
      <c r="C62" s="7">
        <v>40004</v>
      </c>
      <c r="D62" s="7" t="s">
        <v>29</v>
      </c>
      <c r="E62" s="7"/>
      <c r="F62" s="9">
        <f>500+95+45+550+108</f>
        <v>1298</v>
      </c>
      <c r="G62" s="10"/>
      <c r="H62" s="9"/>
      <c r="I62" s="9">
        <f t="shared" si="3"/>
        <v>0</v>
      </c>
      <c r="J62" s="10">
        <f t="shared" si="4"/>
        <v>1298</v>
      </c>
    </row>
    <row r="63" spans="1:10" ht="18" customHeight="1" x14ac:dyDescent="0.35">
      <c r="A63" s="7" t="s">
        <v>60</v>
      </c>
      <c r="B63" s="7"/>
      <c r="C63" s="7">
        <v>40005</v>
      </c>
      <c r="D63" s="7" t="s">
        <v>30</v>
      </c>
      <c r="E63" s="7"/>
      <c r="F63" s="9">
        <f>30+15+30</f>
        <v>75</v>
      </c>
      <c r="G63" s="10"/>
      <c r="H63" s="9"/>
      <c r="I63" s="9">
        <f t="shared" si="3"/>
        <v>0</v>
      </c>
      <c r="J63" s="10">
        <f t="shared" si="4"/>
        <v>75</v>
      </c>
    </row>
    <row r="64" spans="1:10" ht="18" customHeight="1" x14ac:dyDescent="0.35">
      <c r="A64" s="7" t="s">
        <v>60</v>
      </c>
      <c r="B64" s="7"/>
      <c r="C64" s="7">
        <v>40006</v>
      </c>
      <c r="D64" s="7" t="s">
        <v>31</v>
      </c>
      <c r="E64" s="7"/>
      <c r="F64" s="9"/>
      <c r="G64" s="10"/>
      <c r="H64" s="9"/>
      <c r="I64" s="9">
        <f t="shared" si="3"/>
        <v>0</v>
      </c>
      <c r="J64" s="10">
        <f t="shared" si="4"/>
        <v>0</v>
      </c>
    </row>
    <row r="65" spans="1:10" ht="18" customHeight="1" x14ac:dyDescent="0.35">
      <c r="A65" s="7" t="s">
        <v>60</v>
      </c>
      <c r="B65" s="7"/>
      <c r="C65" s="7"/>
      <c r="D65" s="7"/>
      <c r="E65" s="7"/>
      <c r="F65" s="9"/>
      <c r="G65" s="10"/>
      <c r="H65" s="9"/>
      <c r="I65" s="9">
        <f t="shared" si="3"/>
        <v>0</v>
      </c>
      <c r="J65" s="10">
        <f t="shared" si="4"/>
        <v>0</v>
      </c>
    </row>
    <row r="66" spans="1:10" ht="18" customHeight="1" x14ac:dyDescent="0.35">
      <c r="A66" s="7" t="s">
        <v>60</v>
      </c>
      <c r="B66" s="13" t="s">
        <v>32</v>
      </c>
      <c r="C66" s="7"/>
      <c r="D66" s="14" t="s">
        <v>33</v>
      </c>
      <c r="E66" s="7"/>
      <c r="F66" s="7"/>
      <c r="G66" s="10"/>
      <c r="H66" s="9"/>
      <c r="I66" s="9">
        <f t="shared" si="3"/>
        <v>0</v>
      </c>
      <c r="J66" s="10">
        <f t="shared" si="4"/>
        <v>0</v>
      </c>
    </row>
    <row r="67" spans="1:10" ht="18" customHeight="1" x14ac:dyDescent="0.35">
      <c r="A67" s="7" t="s">
        <v>60</v>
      </c>
      <c r="B67" s="15"/>
      <c r="C67" s="7">
        <v>50001</v>
      </c>
      <c r="D67" s="15" t="s">
        <v>34</v>
      </c>
      <c r="E67" s="11">
        <v>1054.3699999999999</v>
      </c>
      <c r="F67" s="7"/>
      <c r="G67" s="10"/>
      <c r="H67" s="9"/>
      <c r="I67" s="9">
        <f t="shared" si="3"/>
        <v>1054.3699999999999</v>
      </c>
      <c r="J67" s="10">
        <f t="shared" si="4"/>
        <v>0</v>
      </c>
    </row>
    <row r="68" spans="1:10" ht="18" customHeight="1" x14ac:dyDescent="0.35">
      <c r="A68" s="7" t="s">
        <v>60</v>
      </c>
      <c r="B68" s="15"/>
      <c r="C68" s="7">
        <v>50002</v>
      </c>
      <c r="D68" s="15" t="s">
        <v>35</v>
      </c>
      <c r="E68" s="11"/>
      <c r="F68" s="7"/>
      <c r="G68" s="10"/>
      <c r="H68" s="9"/>
      <c r="I68" s="9">
        <f t="shared" si="3"/>
        <v>0</v>
      </c>
      <c r="J68" s="10">
        <f t="shared" si="4"/>
        <v>0</v>
      </c>
    </row>
    <row r="69" spans="1:10" ht="18" customHeight="1" x14ac:dyDescent="0.35">
      <c r="A69" s="7" t="s">
        <v>60</v>
      </c>
      <c r="B69" s="15"/>
      <c r="C69" s="7">
        <v>50003</v>
      </c>
      <c r="D69" s="7" t="s">
        <v>58</v>
      </c>
      <c r="E69" s="11"/>
      <c r="F69" s="7"/>
      <c r="G69" s="10"/>
      <c r="H69" s="9"/>
      <c r="I69" s="9">
        <f t="shared" si="3"/>
        <v>0</v>
      </c>
      <c r="J69" s="10">
        <f t="shared" si="4"/>
        <v>0</v>
      </c>
    </row>
    <row r="70" spans="1:10" ht="18" customHeight="1" x14ac:dyDescent="0.35">
      <c r="A70" s="7" t="s">
        <v>60</v>
      </c>
      <c r="B70" s="15"/>
      <c r="C70" s="7">
        <v>50004</v>
      </c>
      <c r="D70" s="15" t="s">
        <v>36</v>
      </c>
      <c r="E70" s="11"/>
      <c r="F70" s="7"/>
      <c r="G70" s="10"/>
      <c r="H70" s="9"/>
      <c r="I70" s="9">
        <f t="shared" si="3"/>
        <v>0</v>
      </c>
      <c r="J70" s="10">
        <f t="shared" si="4"/>
        <v>0</v>
      </c>
    </row>
    <row r="71" spans="1:10" ht="18" customHeight="1" x14ac:dyDescent="0.35">
      <c r="A71" s="7" t="s">
        <v>60</v>
      </c>
      <c r="B71" s="15"/>
      <c r="C71" s="7">
        <v>50005</v>
      </c>
      <c r="D71" s="15" t="s">
        <v>43</v>
      </c>
      <c r="E71" s="11"/>
      <c r="F71" s="7"/>
      <c r="G71" s="10"/>
      <c r="H71" s="9"/>
      <c r="I71" s="9">
        <f t="shared" si="3"/>
        <v>0</v>
      </c>
      <c r="J71" s="10">
        <f t="shared" si="4"/>
        <v>0</v>
      </c>
    </row>
    <row r="72" spans="1:10" ht="18" customHeight="1" x14ac:dyDescent="0.35">
      <c r="A72" s="7" t="s">
        <v>60</v>
      </c>
      <c r="B72" s="15"/>
      <c r="C72" s="7">
        <v>50006</v>
      </c>
      <c r="D72" s="15" t="s">
        <v>37</v>
      </c>
      <c r="E72" s="9"/>
      <c r="F72" s="7"/>
      <c r="G72" s="10"/>
      <c r="H72" s="10"/>
      <c r="I72" s="9">
        <f t="shared" si="3"/>
        <v>0</v>
      </c>
      <c r="J72" s="10">
        <f t="shared" si="4"/>
        <v>0</v>
      </c>
    </row>
    <row r="73" spans="1:10" ht="18" customHeight="1" x14ac:dyDescent="0.35">
      <c r="A73" s="7" t="s">
        <v>60</v>
      </c>
      <c r="B73" s="15"/>
      <c r="C73" s="7">
        <v>50007</v>
      </c>
      <c r="D73" s="15" t="s">
        <v>38</v>
      </c>
      <c r="E73" s="9"/>
      <c r="F73" s="7"/>
      <c r="G73" s="10"/>
      <c r="H73" s="10"/>
      <c r="I73" s="9">
        <f t="shared" si="3"/>
        <v>0</v>
      </c>
      <c r="J73" s="10">
        <f t="shared" si="4"/>
        <v>0</v>
      </c>
    </row>
    <row r="74" spans="1:10" ht="18" customHeight="1" x14ac:dyDescent="0.35">
      <c r="A74" s="7" t="s">
        <v>60</v>
      </c>
      <c r="B74" s="15"/>
      <c r="C74" s="7">
        <v>50008</v>
      </c>
      <c r="D74" s="15" t="s">
        <v>39</v>
      </c>
      <c r="E74" s="9"/>
      <c r="F74" s="7"/>
      <c r="G74" s="10"/>
      <c r="H74" s="10"/>
      <c r="I74" s="9">
        <f t="shared" si="3"/>
        <v>0</v>
      </c>
      <c r="J74" s="10">
        <f t="shared" si="4"/>
        <v>0</v>
      </c>
    </row>
    <row r="75" spans="1:10" ht="18" customHeight="1" x14ac:dyDescent="0.35">
      <c r="A75" s="7" t="s">
        <v>60</v>
      </c>
      <c r="B75" s="15"/>
      <c r="C75" s="7">
        <v>50009</v>
      </c>
      <c r="D75" s="15" t="s">
        <v>40</v>
      </c>
      <c r="E75" s="9"/>
      <c r="F75" s="7"/>
      <c r="G75" s="10"/>
      <c r="H75" s="10"/>
      <c r="I75" s="9">
        <f t="shared" si="3"/>
        <v>0</v>
      </c>
      <c r="J75" s="10">
        <f t="shared" si="4"/>
        <v>0</v>
      </c>
    </row>
    <row r="76" spans="1:10" ht="18" customHeight="1" x14ac:dyDescent="0.35">
      <c r="A76" s="7" t="s">
        <v>60</v>
      </c>
      <c r="B76" s="15"/>
      <c r="C76" s="7">
        <v>50010</v>
      </c>
      <c r="D76" s="15" t="s">
        <v>41</v>
      </c>
      <c r="E76" s="9"/>
      <c r="F76" s="7"/>
      <c r="G76" s="10"/>
      <c r="H76" s="10"/>
      <c r="I76" s="9">
        <f t="shared" si="3"/>
        <v>0</v>
      </c>
      <c r="J76" s="10">
        <f t="shared" si="4"/>
        <v>0</v>
      </c>
    </row>
    <row r="77" spans="1:10" ht="18" customHeight="1" x14ac:dyDescent="0.35">
      <c r="A77" s="7" t="s">
        <v>60</v>
      </c>
      <c r="B77" s="15"/>
      <c r="C77" s="7">
        <v>50011</v>
      </c>
      <c r="D77" s="15" t="s">
        <v>42</v>
      </c>
      <c r="E77" s="9"/>
      <c r="F77" s="7"/>
      <c r="G77" s="10"/>
      <c r="H77" s="10"/>
      <c r="I77" s="9">
        <f t="shared" si="3"/>
        <v>0</v>
      </c>
      <c r="J77" s="10">
        <f t="shared" si="4"/>
        <v>0</v>
      </c>
    </row>
    <row r="78" spans="1:10" s="52" customFormat="1" ht="18" customHeight="1" x14ac:dyDescent="0.35">
      <c r="A78" s="7" t="s">
        <v>60</v>
      </c>
      <c r="B78" s="15"/>
      <c r="C78" s="7">
        <v>50012</v>
      </c>
      <c r="D78" s="15" t="s">
        <v>95</v>
      </c>
      <c r="E78" s="9">
        <v>10</v>
      </c>
      <c r="F78" s="7"/>
      <c r="G78" s="10"/>
      <c r="H78" s="10"/>
      <c r="I78" s="9">
        <f t="shared" si="3"/>
        <v>10</v>
      </c>
      <c r="J78" s="10">
        <f t="shared" si="4"/>
        <v>0</v>
      </c>
    </row>
    <row r="79" spans="1:10" ht="18" customHeight="1" x14ac:dyDescent="0.35">
      <c r="A79" s="7"/>
      <c r="B79" s="15"/>
      <c r="C79" s="7"/>
      <c r="D79" s="15"/>
      <c r="E79" s="9"/>
      <c r="F79" s="7"/>
      <c r="G79" s="10"/>
      <c r="H79" s="10"/>
      <c r="I79" s="9"/>
      <c r="J79" s="10"/>
    </row>
    <row r="80" spans="1:10" ht="18" customHeight="1" x14ac:dyDescent="0.35">
      <c r="A80" s="7"/>
      <c r="B80" s="7"/>
      <c r="C80" s="7"/>
      <c r="D80" s="8" t="s">
        <v>44</v>
      </c>
      <c r="E80" s="16">
        <f>SUM(E9:E79)</f>
        <v>4473</v>
      </c>
      <c r="F80" s="16">
        <f t="shared" ref="F80:J80" si="5">SUM(F9:F79)</f>
        <v>4473</v>
      </c>
      <c r="G80" s="16">
        <f t="shared" si="5"/>
        <v>0</v>
      </c>
      <c r="H80" s="16">
        <f t="shared" si="5"/>
        <v>0</v>
      </c>
      <c r="I80" s="16">
        <f t="shared" si="5"/>
        <v>4473</v>
      </c>
      <c r="J80" s="16">
        <f t="shared" si="5"/>
        <v>4473</v>
      </c>
    </row>
    <row r="81" spans="5:9" x14ac:dyDescent="0.35">
      <c r="E81" s="17">
        <f>E80-F80</f>
        <v>0</v>
      </c>
      <c r="G81" s="17">
        <f>G80-H80</f>
        <v>0</v>
      </c>
      <c r="I81" s="17">
        <f>I80-J80</f>
        <v>0</v>
      </c>
    </row>
    <row r="82" spans="5:9" x14ac:dyDescent="0.35">
      <c r="F82" s="17"/>
      <c r="G82" s="17"/>
      <c r="H82" s="17"/>
      <c r="I82" s="17"/>
    </row>
    <row r="83" spans="5:9" x14ac:dyDescent="0.35">
      <c r="G83" s="17"/>
      <c r="H83" s="17"/>
    </row>
    <row r="84" spans="5:9" x14ac:dyDescent="0.35">
      <c r="G84" s="17"/>
      <c r="H84" s="17"/>
    </row>
  </sheetData>
  <mergeCells count="9">
    <mergeCell ref="G5:H5"/>
    <mergeCell ref="I5:J5"/>
    <mergeCell ref="B2:F2"/>
    <mergeCell ref="A3:F3"/>
    <mergeCell ref="A5:A6"/>
    <mergeCell ref="B5:C6"/>
    <mergeCell ref="D5:D6"/>
    <mergeCell ref="E5:E6"/>
    <mergeCell ref="F5:F6"/>
  </mergeCells>
  <pageMargins left="0.33" right="0.13" top="0.17" bottom="0.17" header="0.17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topLeftCell="A19" workbookViewId="0">
      <selection activeCell="D34" sqref="D34"/>
    </sheetView>
  </sheetViews>
  <sheetFormatPr defaultColWidth="8.81640625" defaultRowHeight="14.5" x14ac:dyDescent="0.35"/>
  <cols>
    <col min="1" max="1" width="4.81640625" customWidth="1"/>
    <col min="3" max="3" width="27.453125" customWidth="1"/>
    <col min="4" max="4" width="14.81640625" customWidth="1"/>
    <col min="5" max="5" width="13.453125" customWidth="1"/>
    <col min="6" max="6" width="14.08984375" customWidth="1"/>
    <col min="7" max="7" width="22.26953125" customWidth="1"/>
    <col min="8" max="8" width="11.36328125" bestFit="1" customWidth="1"/>
    <col min="10" max="10" width="10.08984375" bestFit="1" customWidth="1"/>
  </cols>
  <sheetData>
    <row r="2" spans="2:10" ht="60" customHeight="1" x14ac:dyDescent="0.5">
      <c r="B2" s="21"/>
      <c r="C2" s="21"/>
      <c r="D2" s="21"/>
      <c r="E2" s="21"/>
      <c r="F2" s="21"/>
      <c r="G2" s="21"/>
    </row>
    <row r="3" spans="2:10" ht="21" x14ac:dyDescent="0.5">
      <c r="B3" s="58" t="s">
        <v>74</v>
      </c>
      <c r="C3" s="58"/>
      <c r="D3" s="58"/>
      <c r="E3" s="59"/>
      <c r="F3" s="59"/>
      <c r="G3" s="59"/>
    </row>
    <row r="4" spans="2:10" ht="18.5" x14ac:dyDescent="0.45">
      <c r="B4" s="55" t="s">
        <v>1</v>
      </c>
      <c r="C4" s="55"/>
      <c r="D4" s="55"/>
      <c r="E4" s="59"/>
      <c r="F4" s="59"/>
      <c r="G4" s="59"/>
    </row>
    <row r="5" spans="2:10" ht="32" customHeight="1" x14ac:dyDescent="0.35">
      <c r="B5" s="22" t="s">
        <v>26</v>
      </c>
      <c r="D5" s="22" t="s">
        <v>75</v>
      </c>
      <c r="E5" s="23" t="s">
        <v>76</v>
      </c>
      <c r="F5" s="24" t="s">
        <v>77</v>
      </c>
      <c r="G5" s="25" t="s">
        <v>78</v>
      </c>
    </row>
    <row r="6" spans="2:10" x14ac:dyDescent="0.35">
      <c r="B6" s="22"/>
    </row>
    <row r="7" spans="2:10" x14ac:dyDescent="0.35">
      <c r="B7" s="48">
        <v>40001</v>
      </c>
      <c r="C7" s="48" t="s">
        <v>27</v>
      </c>
      <c r="D7" s="26"/>
      <c r="E7" s="27"/>
      <c r="F7" s="27"/>
      <c r="G7" s="27"/>
    </row>
    <row r="8" spans="2:10" x14ac:dyDescent="0.35">
      <c r="B8" s="48">
        <v>40002</v>
      </c>
      <c r="C8" s="48" t="s">
        <v>28</v>
      </c>
      <c r="D8" s="26"/>
      <c r="E8" s="27"/>
      <c r="F8" s="27"/>
      <c r="G8" s="27"/>
    </row>
    <row r="9" spans="2:10" x14ac:dyDescent="0.35">
      <c r="B9" s="48">
        <v>40004</v>
      </c>
      <c r="C9" s="48" t="s">
        <v>29</v>
      </c>
      <c r="D9" s="26">
        <f>'Trial Balance'!F62</f>
        <v>1298</v>
      </c>
      <c r="E9" s="27"/>
      <c r="F9" s="27"/>
      <c r="G9" s="27"/>
    </row>
    <row r="10" spans="2:10" x14ac:dyDescent="0.35">
      <c r="B10" s="48">
        <v>40005</v>
      </c>
      <c r="C10" s="48" t="s">
        <v>30</v>
      </c>
      <c r="D10" s="26">
        <f>'Trial Balance'!F63</f>
        <v>75</v>
      </c>
      <c r="E10" s="27"/>
      <c r="F10" s="27"/>
      <c r="G10" s="27"/>
      <c r="H10" s="28"/>
    </row>
    <row r="11" spans="2:10" x14ac:dyDescent="0.35">
      <c r="B11" s="48">
        <v>40006</v>
      </c>
      <c r="C11" s="48" t="s">
        <v>31</v>
      </c>
      <c r="D11" s="26"/>
      <c r="E11" s="27"/>
      <c r="F11" s="27"/>
      <c r="G11" s="27"/>
    </row>
    <row r="12" spans="2:10" x14ac:dyDescent="0.35">
      <c r="D12" s="26"/>
      <c r="G12" s="27"/>
      <c r="H12" s="28"/>
    </row>
    <row r="13" spans="2:10" ht="17" x14ac:dyDescent="0.5">
      <c r="B13" s="29" t="s">
        <v>79</v>
      </c>
      <c r="D13" s="30">
        <f>SUM(D7:D12)</f>
        <v>1373</v>
      </c>
      <c r="E13" s="30">
        <f>SUM(E7:E12)</f>
        <v>0</v>
      </c>
      <c r="F13" s="30">
        <f>SUM(F7:F12)</f>
        <v>0</v>
      </c>
      <c r="G13" s="31">
        <f>F13+D13</f>
        <v>1373</v>
      </c>
    </row>
    <row r="14" spans="2:10" x14ac:dyDescent="0.35">
      <c r="D14" s="32"/>
      <c r="G14" s="33"/>
      <c r="J14" s="17"/>
    </row>
    <row r="15" spans="2:10" x14ac:dyDescent="0.35">
      <c r="B15" s="48">
        <v>50001</v>
      </c>
      <c r="C15" s="49" t="s">
        <v>34</v>
      </c>
      <c r="D15" s="34">
        <f>'Trial Balance'!E67</f>
        <v>1054.3699999999999</v>
      </c>
      <c r="E15" s="27"/>
      <c r="F15" s="27"/>
      <c r="G15" s="27"/>
    </row>
    <row r="16" spans="2:10" x14ac:dyDescent="0.35">
      <c r="D16" s="34"/>
      <c r="E16" s="27"/>
      <c r="F16" s="27"/>
      <c r="G16" s="27"/>
    </row>
    <row r="17" spans="2:7" ht="16" x14ac:dyDescent="0.5">
      <c r="B17" s="22" t="s">
        <v>80</v>
      </c>
      <c r="D17" s="35">
        <f>D13-D15-D16</f>
        <v>318.63000000000011</v>
      </c>
      <c r="E17" s="35">
        <f>E13-E15-E16</f>
        <v>0</v>
      </c>
      <c r="F17" s="35">
        <f>F13-F15-F16</f>
        <v>0</v>
      </c>
      <c r="G17" s="36">
        <f>F17+D17</f>
        <v>318.63000000000011</v>
      </c>
    </row>
    <row r="18" spans="2:7" x14ac:dyDescent="0.35">
      <c r="D18" s="26"/>
      <c r="G18" s="33"/>
    </row>
    <row r="19" spans="2:7" x14ac:dyDescent="0.35">
      <c r="B19" s="37" t="s">
        <v>33</v>
      </c>
      <c r="D19" s="26"/>
      <c r="G19" s="33"/>
    </row>
    <row r="20" spans="2:7" ht="16.5" customHeight="1" x14ac:dyDescent="0.35">
      <c r="B20" s="48">
        <v>50002</v>
      </c>
      <c r="C20" s="49" t="s">
        <v>35</v>
      </c>
      <c r="D20" s="26"/>
      <c r="E20" s="27"/>
      <c r="F20" s="27"/>
      <c r="G20" s="33"/>
    </row>
    <row r="21" spans="2:7" ht="16.5" customHeight="1" x14ac:dyDescent="0.35">
      <c r="B21" s="48">
        <v>50003</v>
      </c>
      <c r="C21" s="48" t="s">
        <v>58</v>
      </c>
      <c r="D21" s="26"/>
      <c r="E21" s="27"/>
      <c r="F21" s="27"/>
      <c r="G21" s="33"/>
    </row>
    <row r="22" spans="2:7" ht="16.5" customHeight="1" x14ac:dyDescent="0.35">
      <c r="B22" s="48">
        <v>50004</v>
      </c>
      <c r="C22" s="49" t="s">
        <v>36</v>
      </c>
      <c r="D22" s="26"/>
      <c r="E22" s="27"/>
      <c r="F22" s="27"/>
      <c r="G22" s="33"/>
    </row>
    <row r="23" spans="2:7" ht="16.5" customHeight="1" x14ac:dyDescent="0.35">
      <c r="B23" s="48">
        <v>50005</v>
      </c>
      <c r="C23" s="49" t="s">
        <v>43</v>
      </c>
      <c r="D23" s="26"/>
      <c r="E23" s="27"/>
      <c r="F23" s="27"/>
      <c r="G23" s="33"/>
    </row>
    <row r="24" spans="2:7" ht="16.5" customHeight="1" x14ac:dyDescent="0.35">
      <c r="B24" s="48">
        <v>50006</v>
      </c>
      <c r="C24" s="49" t="s">
        <v>37</v>
      </c>
      <c r="D24" s="26"/>
      <c r="E24" s="27"/>
      <c r="F24" s="27"/>
      <c r="G24" s="33"/>
    </row>
    <row r="25" spans="2:7" ht="16.5" customHeight="1" x14ac:dyDescent="0.35">
      <c r="B25" s="48">
        <v>50007</v>
      </c>
      <c r="C25" s="49" t="s">
        <v>38</v>
      </c>
      <c r="D25" s="26"/>
      <c r="E25" s="27"/>
      <c r="F25" s="27"/>
      <c r="G25" s="33"/>
    </row>
    <row r="26" spans="2:7" ht="16.5" customHeight="1" x14ac:dyDescent="0.35">
      <c r="B26" s="48">
        <v>50008</v>
      </c>
      <c r="C26" s="49" t="s">
        <v>39</v>
      </c>
      <c r="D26" s="26"/>
      <c r="E26" s="27"/>
      <c r="F26" s="27"/>
      <c r="G26" s="33"/>
    </row>
    <row r="27" spans="2:7" ht="16.5" customHeight="1" x14ac:dyDescent="0.35">
      <c r="B27" s="48">
        <v>50009</v>
      </c>
      <c r="C27" s="49" t="s">
        <v>40</v>
      </c>
      <c r="D27" s="26"/>
      <c r="E27" s="27"/>
      <c r="F27" s="27"/>
      <c r="G27" s="33"/>
    </row>
    <row r="28" spans="2:7" ht="16.5" customHeight="1" x14ac:dyDescent="0.35">
      <c r="B28" s="48">
        <v>50010</v>
      </c>
      <c r="C28" s="49" t="s">
        <v>41</v>
      </c>
      <c r="D28" s="26"/>
      <c r="E28" s="27"/>
      <c r="F28" s="27"/>
      <c r="G28" s="27"/>
    </row>
    <row r="29" spans="2:7" ht="16.5" customHeight="1" x14ac:dyDescent="0.35">
      <c r="B29" s="48">
        <v>50011</v>
      </c>
      <c r="C29" s="49" t="s">
        <v>42</v>
      </c>
      <c r="D29" s="26"/>
      <c r="G29" s="33"/>
    </row>
    <row r="30" spans="2:7" s="52" customFormat="1" ht="16.5" customHeight="1" x14ac:dyDescent="0.35">
      <c r="B30" s="48">
        <v>50012</v>
      </c>
      <c r="C30" s="49" t="s">
        <v>95</v>
      </c>
      <c r="D30" s="26">
        <f>'Trial Balance'!E78</f>
        <v>10</v>
      </c>
      <c r="G30" s="33"/>
    </row>
    <row r="31" spans="2:7" x14ac:dyDescent="0.35">
      <c r="B31" s="48"/>
      <c r="C31" s="49"/>
      <c r="D31" s="26"/>
      <c r="G31" s="33"/>
    </row>
    <row r="32" spans="2:7" ht="17" x14ac:dyDescent="0.5">
      <c r="B32" s="29" t="s">
        <v>81</v>
      </c>
      <c r="D32" s="38">
        <f>SUM(D20:D30)</f>
        <v>10</v>
      </c>
      <c r="E32" s="38">
        <f>SUM(E20:E28)</f>
        <v>0</v>
      </c>
      <c r="F32" s="38">
        <f>SUM(F20:F28)</f>
        <v>0</v>
      </c>
      <c r="G32" s="39">
        <f>F32+D32</f>
        <v>10</v>
      </c>
    </row>
    <row r="33" spans="2:7" x14ac:dyDescent="0.35">
      <c r="D33" s="26"/>
      <c r="F33">
        <v>0</v>
      </c>
      <c r="G33" s="33">
        <f>F33+D33</f>
        <v>0</v>
      </c>
    </row>
    <row r="34" spans="2:7" ht="17" x14ac:dyDescent="0.5">
      <c r="B34" s="40" t="s">
        <v>82</v>
      </c>
      <c r="D34" s="38">
        <f>D17-D32</f>
        <v>308.63000000000011</v>
      </c>
      <c r="E34" s="38">
        <f>E17-E32</f>
        <v>0</v>
      </c>
      <c r="F34" s="38">
        <f>F17-F32</f>
        <v>0</v>
      </c>
      <c r="G34" s="39">
        <f>F34+D34</f>
        <v>308.63000000000011</v>
      </c>
    </row>
    <row r="35" spans="2:7" ht="16" x14ac:dyDescent="0.5">
      <c r="E35" s="39"/>
      <c r="F35" s="39"/>
    </row>
    <row r="36" spans="2:7" ht="16" x14ac:dyDescent="0.5">
      <c r="E36" s="39"/>
      <c r="F36" s="39"/>
    </row>
    <row r="37" spans="2:7" x14ac:dyDescent="0.35">
      <c r="C37" s="33"/>
      <c r="D37" s="33"/>
    </row>
  </sheetData>
  <mergeCells count="2">
    <mergeCell ref="B3:G3"/>
    <mergeCell ref="B4:G4"/>
  </mergeCells>
  <pageMargins left="0.17" right="0.13" top="0.67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4"/>
  <sheetViews>
    <sheetView tabSelected="1" topLeftCell="A4" workbookViewId="0">
      <selection activeCell="H10" sqref="H10"/>
    </sheetView>
  </sheetViews>
  <sheetFormatPr defaultColWidth="8.81640625" defaultRowHeight="14.5" x14ac:dyDescent="0.35"/>
  <cols>
    <col min="1" max="1" width="4.08984375" customWidth="1"/>
    <col min="2" max="2" width="7.81640625" customWidth="1"/>
    <col min="3" max="3" width="42.08984375" bestFit="1" customWidth="1"/>
    <col min="4" max="4" width="14.81640625" customWidth="1"/>
    <col min="5" max="5" width="11.90625" customWidth="1"/>
  </cols>
  <sheetData>
    <row r="2" spans="2:6" ht="66.75" customHeight="1" x14ac:dyDescent="0.5">
      <c r="B2" s="60"/>
      <c r="C2" s="60"/>
      <c r="D2" s="60"/>
      <c r="E2" s="41"/>
      <c r="F2" s="41"/>
    </row>
    <row r="3" spans="2:6" ht="21" x14ac:dyDescent="0.5">
      <c r="B3" s="58" t="s">
        <v>83</v>
      </c>
      <c r="C3" s="58"/>
      <c r="D3" s="58"/>
      <c r="E3" s="42"/>
      <c r="F3" s="42"/>
    </row>
    <row r="4" spans="2:6" ht="18.5" x14ac:dyDescent="0.45">
      <c r="B4" s="55" t="s">
        <v>1</v>
      </c>
      <c r="C4" s="55"/>
      <c r="D4" s="55"/>
      <c r="E4" s="1"/>
      <c r="F4" s="1"/>
    </row>
    <row r="6" spans="2:6" ht="18.75" customHeight="1" x14ac:dyDescent="0.35">
      <c r="B6" s="43" t="s">
        <v>8</v>
      </c>
      <c r="D6" t="s">
        <v>93</v>
      </c>
      <c r="E6" t="s">
        <v>76</v>
      </c>
      <c r="F6" t="s">
        <v>94</v>
      </c>
    </row>
    <row r="7" spans="2:6" ht="18.75" customHeight="1" x14ac:dyDescent="0.35">
      <c r="B7" s="48">
        <v>11001</v>
      </c>
      <c r="C7" s="48" t="s">
        <v>10</v>
      </c>
      <c r="D7" s="27"/>
    </row>
    <row r="8" spans="2:6" ht="18.75" customHeight="1" x14ac:dyDescent="0.35">
      <c r="B8" s="48">
        <v>11002</v>
      </c>
      <c r="C8" s="48" t="s">
        <v>45</v>
      </c>
      <c r="D8" s="27">
        <f>'Trial Balance'!E10</f>
        <v>2213</v>
      </c>
    </row>
    <row r="9" spans="2:6" ht="18.75" customHeight="1" x14ac:dyDescent="0.35">
      <c r="B9" s="48">
        <v>11003</v>
      </c>
      <c r="C9" s="48" t="s">
        <v>11</v>
      </c>
      <c r="D9" s="27"/>
    </row>
    <row r="10" spans="2:6" ht="18.75" customHeight="1" x14ac:dyDescent="0.35">
      <c r="B10" s="48">
        <v>12001</v>
      </c>
      <c r="C10" s="48" t="s">
        <v>12</v>
      </c>
      <c r="D10" s="27">
        <f>'Trial Balance'!E14</f>
        <v>50</v>
      </c>
    </row>
    <row r="11" spans="2:6" ht="18.75" customHeight="1" x14ac:dyDescent="0.35">
      <c r="B11" s="48">
        <v>12002</v>
      </c>
      <c r="C11" s="48" t="s">
        <v>19</v>
      </c>
      <c r="D11" s="27"/>
    </row>
    <row r="12" spans="2:6" ht="18.75" customHeight="1" x14ac:dyDescent="0.35">
      <c r="B12" s="48">
        <v>12003</v>
      </c>
      <c r="C12" s="48" t="s">
        <v>46</v>
      </c>
      <c r="D12" s="27"/>
    </row>
    <row r="13" spans="2:6" ht="18.75" customHeight="1" x14ac:dyDescent="0.35">
      <c r="B13" s="48">
        <v>13110</v>
      </c>
      <c r="C13" s="48" t="s">
        <v>62</v>
      </c>
      <c r="D13" s="27">
        <f>'Trial Balance'!E19</f>
        <v>906.67000000000007</v>
      </c>
    </row>
    <row r="14" spans="2:6" ht="18.75" customHeight="1" x14ac:dyDescent="0.35">
      <c r="B14" s="48">
        <v>13120</v>
      </c>
      <c r="C14" s="48" t="s">
        <v>63</v>
      </c>
      <c r="D14" s="27"/>
    </row>
    <row r="15" spans="2:6" ht="18.75" customHeight="1" x14ac:dyDescent="0.35">
      <c r="B15" s="48">
        <v>13130</v>
      </c>
      <c r="C15" s="48" t="s">
        <v>64</v>
      </c>
      <c r="D15" s="27"/>
    </row>
    <row r="16" spans="2:6" ht="18.75" customHeight="1" x14ac:dyDescent="0.35">
      <c r="B16" s="48">
        <v>13210</v>
      </c>
      <c r="C16" s="48" t="s">
        <v>65</v>
      </c>
      <c r="D16" s="27"/>
    </row>
    <row r="17" spans="2:4" ht="18.75" customHeight="1" x14ac:dyDescent="0.35">
      <c r="B17" s="48">
        <v>13220</v>
      </c>
      <c r="C17" s="48" t="s">
        <v>66</v>
      </c>
      <c r="D17" s="27"/>
    </row>
    <row r="18" spans="2:4" ht="18.75" customHeight="1" x14ac:dyDescent="0.35">
      <c r="B18" s="48">
        <v>13230</v>
      </c>
      <c r="C18" s="48" t="s">
        <v>67</v>
      </c>
      <c r="D18" s="27"/>
    </row>
    <row r="19" spans="2:4" ht="18.75" customHeight="1" x14ac:dyDescent="0.35">
      <c r="B19" s="48">
        <v>13310</v>
      </c>
      <c r="C19" s="48" t="s">
        <v>69</v>
      </c>
      <c r="D19" s="27"/>
    </row>
    <row r="20" spans="2:4" ht="18.75" customHeight="1" x14ac:dyDescent="0.35">
      <c r="B20" s="48">
        <v>13320</v>
      </c>
      <c r="C20" s="48" t="s">
        <v>70</v>
      </c>
      <c r="D20" s="27"/>
    </row>
    <row r="21" spans="2:4" ht="18.75" customHeight="1" x14ac:dyDescent="0.35">
      <c r="B21" s="48">
        <v>13330</v>
      </c>
      <c r="C21" s="48" t="s">
        <v>68</v>
      </c>
      <c r="D21" s="27"/>
    </row>
    <row r="22" spans="2:4" ht="18.75" customHeight="1" x14ac:dyDescent="0.35">
      <c r="B22" s="48">
        <v>13310</v>
      </c>
      <c r="C22" s="48" t="s">
        <v>71</v>
      </c>
      <c r="D22" s="27"/>
    </row>
    <row r="23" spans="2:4" ht="18.75" customHeight="1" x14ac:dyDescent="0.35">
      <c r="B23" s="48">
        <v>13320</v>
      </c>
      <c r="C23" s="48" t="s">
        <v>72</v>
      </c>
      <c r="D23" s="27"/>
    </row>
    <row r="24" spans="2:4" ht="18.75" customHeight="1" x14ac:dyDescent="0.35">
      <c r="B24" s="48">
        <v>13330</v>
      </c>
      <c r="C24" s="48" t="s">
        <v>73</v>
      </c>
      <c r="D24" s="27"/>
    </row>
    <row r="25" spans="2:4" ht="18.75" customHeight="1" x14ac:dyDescent="0.35">
      <c r="B25" s="48">
        <v>13400</v>
      </c>
      <c r="C25" s="50" t="s">
        <v>48</v>
      </c>
      <c r="D25" s="27"/>
    </row>
    <row r="26" spans="2:4" ht="18.75" customHeight="1" x14ac:dyDescent="0.35">
      <c r="B26" s="48">
        <v>13500</v>
      </c>
      <c r="C26" s="48" t="s">
        <v>51</v>
      </c>
      <c r="D26" s="27">
        <f>'Trial Balance'!E32</f>
        <v>238.96000000000004</v>
      </c>
    </row>
    <row r="27" spans="2:4" ht="18.75" customHeight="1" x14ac:dyDescent="0.35">
      <c r="B27" s="48">
        <v>13600</v>
      </c>
      <c r="C27" s="48" t="s">
        <v>52</v>
      </c>
      <c r="D27" s="27"/>
    </row>
    <row r="28" spans="2:4" ht="18.75" customHeight="1" x14ac:dyDescent="0.35">
      <c r="B28" s="48">
        <v>13700</v>
      </c>
      <c r="C28" s="48" t="s">
        <v>50</v>
      </c>
      <c r="D28" s="27"/>
    </row>
    <row r="29" spans="2:4" ht="18.75" customHeight="1" x14ac:dyDescent="0.35">
      <c r="B29" s="48">
        <v>14100</v>
      </c>
      <c r="C29" s="48" t="s">
        <v>16</v>
      </c>
      <c r="D29" s="27"/>
    </row>
    <row r="30" spans="2:4" ht="18.75" customHeight="1" x14ac:dyDescent="0.35">
      <c r="B30" s="48">
        <v>14200</v>
      </c>
      <c r="C30" s="48" t="s">
        <v>17</v>
      </c>
      <c r="D30" s="27"/>
    </row>
    <row r="31" spans="2:4" ht="18.75" customHeight="1" x14ac:dyDescent="0.35">
      <c r="B31" s="48">
        <v>14300</v>
      </c>
      <c r="C31" s="48" t="s">
        <v>13</v>
      </c>
      <c r="D31" s="27"/>
    </row>
    <row r="32" spans="2:4" ht="18.75" customHeight="1" x14ac:dyDescent="0.35">
      <c r="B32" s="48">
        <v>14400</v>
      </c>
      <c r="C32" s="48" t="s">
        <v>14</v>
      </c>
      <c r="D32" s="27"/>
    </row>
    <row r="33" spans="2:6" ht="18.75" customHeight="1" x14ac:dyDescent="0.35">
      <c r="B33" s="48">
        <v>14500</v>
      </c>
      <c r="C33" s="48" t="s">
        <v>47</v>
      </c>
      <c r="D33" s="27"/>
    </row>
    <row r="34" spans="2:6" ht="18.75" customHeight="1" x14ac:dyDescent="0.35">
      <c r="B34" s="51">
        <v>18100</v>
      </c>
      <c r="C34" s="48" t="s">
        <v>15</v>
      </c>
      <c r="D34" s="27"/>
    </row>
    <row r="35" spans="2:6" ht="18.75" customHeight="1" x14ac:dyDescent="0.35">
      <c r="B35" s="51">
        <v>18200</v>
      </c>
      <c r="C35" s="48" t="s">
        <v>16</v>
      </c>
      <c r="D35" s="27"/>
    </row>
    <row r="36" spans="2:6" ht="18.75" customHeight="1" x14ac:dyDescent="0.35">
      <c r="B36" s="51">
        <v>18300</v>
      </c>
      <c r="C36" s="48" t="s">
        <v>17</v>
      </c>
      <c r="D36" s="27"/>
    </row>
    <row r="37" spans="2:6" ht="18.75" customHeight="1" x14ac:dyDescent="0.35">
      <c r="B37" s="51">
        <v>18400</v>
      </c>
      <c r="C37" s="48" t="s">
        <v>13</v>
      </c>
      <c r="D37" s="27"/>
    </row>
    <row r="38" spans="2:6" ht="18.75" customHeight="1" x14ac:dyDescent="0.35">
      <c r="C38" t="s">
        <v>84</v>
      </c>
      <c r="D38" s="27"/>
    </row>
    <row r="39" spans="2:6" ht="18.75" customHeight="1" x14ac:dyDescent="0.5">
      <c r="B39" s="43" t="s">
        <v>85</v>
      </c>
      <c r="D39" s="44">
        <f>SUM(D7:D38)</f>
        <v>3408.63</v>
      </c>
      <c r="E39" s="44">
        <f t="shared" ref="E39:F39" si="0">SUM(E7:E38)</f>
        <v>0</v>
      </c>
      <c r="F39" s="44">
        <f t="shared" si="0"/>
        <v>0</v>
      </c>
    </row>
    <row r="40" spans="2:6" ht="6" customHeight="1" x14ac:dyDescent="0.35"/>
    <row r="41" spans="2:6" ht="16.5" customHeight="1" x14ac:dyDescent="0.35">
      <c r="B41" s="45" t="s">
        <v>20</v>
      </c>
    </row>
    <row r="42" spans="2:6" ht="16.5" customHeight="1" x14ac:dyDescent="0.35">
      <c r="B42" s="48">
        <v>20001</v>
      </c>
      <c r="C42" s="48" t="s">
        <v>54</v>
      </c>
    </row>
    <row r="43" spans="2:6" ht="16.5" customHeight="1" x14ac:dyDescent="0.35">
      <c r="B43" s="48">
        <v>20002</v>
      </c>
      <c r="C43" s="48" t="s">
        <v>55</v>
      </c>
    </row>
    <row r="44" spans="2:6" ht="16.5" customHeight="1" x14ac:dyDescent="0.35">
      <c r="B44" s="48">
        <v>20003</v>
      </c>
      <c r="C44" s="48" t="s">
        <v>56</v>
      </c>
    </row>
    <row r="45" spans="2:6" ht="16.5" customHeight="1" x14ac:dyDescent="0.35">
      <c r="B45" s="48">
        <v>20004</v>
      </c>
      <c r="C45" s="48" t="s">
        <v>21</v>
      </c>
    </row>
    <row r="46" spans="2:6" ht="16.5" customHeight="1" x14ac:dyDescent="0.35">
      <c r="B46" s="48">
        <v>20005</v>
      </c>
      <c r="C46" s="48" t="s">
        <v>57</v>
      </c>
    </row>
    <row r="47" spans="2:6" ht="16.5" customHeight="1" x14ac:dyDescent="0.35">
      <c r="B47" s="48">
        <v>21001</v>
      </c>
      <c r="C47" s="48" t="s">
        <v>58</v>
      </c>
    </row>
    <row r="48" spans="2:6" ht="16.5" customHeight="1" x14ac:dyDescent="0.35">
      <c r="D48" s="27"/>
    </row>
    <row r="49" spans="2:6" ht="16.5" customHeight="1" x14ac:dyDescent="0.35"/>
    <row r="50" spans="2:6" ht="16" x14ac:dyDescent="0.5">
      <c r="B50" s="45" t="s">
        <v>86</v>
      </c>
      <c r="D50" s="31">
        <f>SUM(D48:D49)</f>
        <v>0</v>
      </c>
      <c r="E50" s="31">
        <f t="shared" ref="E50:F50" si="1">SUM(E48:E49)</f>
        <v>0</v>
      </c>
      <c r="F50" s="31">
        <f t="shared" si="1"/>
        <v>0</v>
      </c>
    </row>
    <row r="51" spans="2:6" ht="7.5" customHeight="1" x14ac:dyDescent="0.35"/>
    <row r="52" spans="2:6" x14ac:dyDescent="0.35">
      <c r="B52" s="46" t="s">
        <v>87</v>
      </c>
    </row>
    <row r="53" spans="2:6" x14ac:dyDescent="0.35">
      <c r="B53" s="48">
        <v>30001</v>
      </c>
      <c r="C53" s="48" t="s">
        <v>23</v>
      </c>
      <c r="D53" s="27">
        <f>'Trial Balance'!F56</f>
        <v>3100</v>
      </c>
    </row>
    <row r="54" spans="2:6" x14ac:dyDescent="0.35">
      <c r="B54" s="48">
        <v>30002</v>
      </c>
      <c r="C54" s="48" t="s">
        <v>24</v>
      </c>
      <c r="D54" s="27"/>
    </row>
    <row r="55" spans="2:6" x14ac:dyDescent="0.35">
      <c r="B55" s="48">
        <v>30003</v>
      </c>
      <c r="C55" s="48" t="s">
        <v>91</v>
      </c>
      <c r="D55" s="27"/>
    </row>
    <row r="56" spans="2:6" x14ac:dyDescent="0.35">
      <c r="B56" s="48"/>
      <c r="C56" s="48" t="s">
        <v>92</v>
      </c>
      <c r="D56" s="27">
        <f>'Income Statment'!D34</f>
        <v>308.63000000000011</v>
      </c>
    </row>
    <row r="57" spans="2:6" x14ac:dyDescent="0.35">
      <c r="D57" s="27"/>
    </row>
    <row r="58" spans="2:6" ht="16" x14ac:dyDescent="0.5">
      <c r="B58" s="45" t="s">
        <v>88</v>
      </c>
      <c r="D58" s="31">
        <f>SUM(D53:D57)</f>
        <v>3408.63</v>
      </c>
      <c r="E58" s="31">
        <f t="shared" ref="E58:F58" si="2">SUM(E53:E55)</f>
        <v>0</v>
      </c>
      <c r="F58" s="31">
        <f t="shared" si="2"/>
        <v>0</v>
      </c>
    </row>
    <row r="60" spans="2:6" ht="16" x14ac:dyDescent="0.5">
      <c r="B60" s="43" t="s">
        <v>89</v>
      </c>
      <c r="D60" s="47">
        <f>D58+D50</f>
        <v>3408.63</v>
      </c>
      <c r="E60" s="47">
        <f t="shared" ref="E60:F60" si="3">E58+E50</f>
        <v>0</v>
      </c>
      <c r="F60" s="47">
        <f t="shared" si="3"/>
        <v>0</v>
      </c>
    </row>
    <row r="62" spans="2:6" x14ac:dyDescent="0.35">
      <c r="C62" t="s">
        <v>90</v>
      </c>
      <c r="D62" s="33">
        <f>D60-D39</f>
        <v>0</v>
      </c>
    </row>
    <row r="64" spans="2:6" x14ac:dyDescent="0.35">
      <c r="E64" s="33"/>
    </row>
  </sheetData>
  <mergeCells count="3">
    <mergeCell ref="B2:D2"/>
    <mergeCell ref="B3:D3"/>
    <mergeCell ref="B4:D4"/>
  </mergeCells>
  <pageMargins left="1.31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Balance</vt:lpstr>
      <vt:lpstr>Income Statment</vt:lpstr>
      <vt:lpstr>Balance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 computer</dc:creator>
  <cp:lastModifiedBy>DALA computer</cp:lastModifiedBy>
  <dcterms:created xsi:type="dcterms:W3CDTF">2026-09-30T04:48:07Z</dcterms:created>
  <dcterms:modified xsi:type="dcterms:W3CDTF">2026-10-25T14:07:52Z</dcterms:modified>
</cp:coreProperties>
</file>